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shivaji.ghadage\OneDrive - Reliance Corporate IT Park Limited\Desktop\"/>
    </mc:Choice>
  </mc:AlternateContent>
  <xr:revisionPtr revIDLastSave="18" documentId="11_81E2192D02E9321814524400BE2A8F88C88C3378" xr6:coauthVersionLast="36" xr6:coauthVersionMax="36" xr10:uidLastSave="{FBBDF6BC-D9A6-49BC-A419-5B9C07759850}"/>
  <bookViews>
    <workbookView xWindow="0" yWindow="0" windowWidth="20460" windowHeight="5520" tabRatio="869" xr2:uid="{00000000-000D-0000-FFFF-FFFF00000000}"/>
  </bookViews>
  <sheets>
    <sheet name="Summary" sheetId="1" r:id="rId1"/>
    <sheet name="Issue_list" sheetId="2" r:id="rId2"/>
    <sheet name="Login &amp; Profile" sheetId="3" r:id="rId3"/>
    <sheet name="Dashboard" sheetId="4" r:id="rId4"/>
    <sheet name="Materials" sheetId="5" r:id="rId5"/>
    <sheet name="Layouts" sheetId="6" r:id="rId6"/>
    <sheet name="LayoutApproval" sheetId="7" r:id="rId7"/>
    <sheet name="Playlists" sheetId="8" r:id="rId8"/>
    <sheet name="Schedules" sheetId="9" r:id="rId9"/>
    <sheet name="Displays" sheetId="10" r:id="rId10"/>
    <sheet name="User Access" sheetId="11" r:id="rId11"/>
    <sheet name="Display Status" sheetId="12" r:id="rId12"/>
    <sheet name="Live Monitoring" sheetId="13" r:id="rId13"/>
    <sheet name="Reports" sheetId="14" r:id="rId14"/>
    <sheet name="Emergenecy Alerts" sheetId="15" r:id="rId15"/>
    <sheet name="System Test" sheetId="16" r:id="rId16"/>
    <sheet name="Long Duration" sheetId="17" r:id="rId17"/>
  </sheets>
  <calcPr calcId="191029"/>
</workbook>
</file>

<file path=xl/calcChain.xml><?xml version="1.0" encoding="utf-8"?>
<calcChain xmlns="http://schemas.openxmlformats.org/spreadsheetml/2006/main">
  <c r="G23" i="1" l="1"/>
  <c r="F23" i="1"/>
  <c r="E23" i="1"/>
  <c r="D23" i="1"/>
  <c r="I23" i="1" s="1"/>
  <c r="C23" i="1"/>
  <c r="G22" i="1"/>
  <c r="F22" i="1"/>
  <c r="E22" i="1"/>
  <c r="D22" i="1"/>
  <c r="I22" i="1" s="1"/>
  <c r="C22" i="1"/>
  <c r="G21" i="1"/>
  <c r="F21" i="1"/>
  <c r="E21" i="1"/>
  <c r="D21" i="1"/>
  <c r="I21" i="1" s="1"/>
  <c r="C21" i="1"/>
  <c r="G20" i="1"/>
  <c r="F20" i="1"/>
  <c r="E20" i="1"/>
  <c r="D20" i="1"/>
  <c r="I20" i="1" s="1"/>
  <c r="C20" i="1"/>
  <c r="G19" i="1"/>
  <c r="F19" i="1"/>
  <c r="E19" i="1"/>
  <c r="D19" i="1"/>
  <c r="I19" i="1" s="1"/>
  <c r="C19" i="1"/>
  <c r="G18" i="1"/>
  <c r="F18" i="1"/>
  <c r="E18" i="1"/>
  <c r="D18" i="1"/>
  <c r="I18" i="1" s="1"/>
  <c r="C18" i="1"/>
  <c r="G17" i="1"/>
  <c r="F17" i="1"/>
  <c r="E17" i="1"/>
  <c r="D17" i="1"/>
  <c r="I17" i="1" s="1"/>
  <c r="C17" i="1"/>
  <c r="G16" i="1"/>
  <c r="F16" i="1"/>
  <c r="E16" i="1"/>
  <c r="D16" i="1"/>
  <c r="I16" i="1" s="1"/>
  <c r="C16" i="1"/>
  <c r="G15" i="1"/>
  <c r="F15" i="1"/>
  <c r="E15" i="1"/>
  <c r="D15" i="1"/>
  <c r="H15" i="1" s="1"/>
  <c r="C15" i="1"/>
  <c r="G14" i="1"/>
  <c r="F14" i="1"/>
  <c r="E14" i="1"/>
  <c r="D14" i="1"/>
  <c r="I14" i="1" s="1"/>
  <c r="C14" i="1"/>
  <c r="G13" i="1"/>
  <c r="F13" i="1"/>
  <c r="E13" i="1"/>
  <c r="D13" i="1"/>
  <c r="I13" i="1" s="1"/>
  <c r="C13" i="1"/>
  <c r="G12" i="1"/>
  <c r="F12" i="1"/>
  <c r="E12" i="1"/>
  <c r="D12" i="1"/>
  <c r="I12" i="1" s="1"/>
  <c r="C12" i="1"/>
  <c r="G11" i="1"/>
  <c r="F11" i="1"/>
  <c r="E11" i="1"/>
  <c r="D11" i="1"/>
  <c r="I11" i="1" s="1"/>
  <c r="C11" i="1"/>
  <c r="G10" i="1"/>
  <c r="F10" i="1"/>
  <c r="E10" i="1"/>
  <c r="D10" i="1"/>
  <c r="I10" i="1" s="1"/>
  <c r="C10" i="1"/>
  <c r="G9" i="1"/>
  <c r="F9" i="1"/>
  <c r="E9" i="1"/>
  <c r="D9" i="1"/>
  <c r="I9" i="1" s="1"/>
  <c r="C9" i="1"/>
  <c r="C24" i="1" s="1"/>
  <c r="E24" i="1" l="1"/>
  <c r="F24" i="1"/>
  <c r="G24" i="1"/>
  <c r="H22" i="1"/>
  <c r="H13" i="1"/>
  <c r="H20" i="1"/>
  <c r="I15" i="1"/>
  <c r="H11" i="1"/>
  <c r="H18" i="1"/>
  <c r="H16" i="1"/>
  <c r="H23" i="1"/>
  <c r="H14" i="1"/>
  <c r="H21" i="1"/>
  <c r="H12" i="1"/>
  <c r="D24" i="1"/>
  <c r="H19" i="1"/>
  <c r="H9" i="1"/>
  <c r="H10" i="1"/>
  <c r="H17" i="1"/>
  <c r="I24" i="1" l="1"/>
  <c r="H24" i="1"/>
</calcChain>
</file>

<file path=xl/sharedStrings.xml><?xml version="1.0" encoding="utf-8"?>
<sst xmlns="http://schemas.openxmlformats.org/spreadsheetml/2006/main" count="7691" uniqueCount="4030">
  <si>
    <t xml:space="preserve">                                                   JioSignage Test Report Summary                                                                               Date: 03-Nov-2025</t>
  </si>
  <si>
    <t>Solution / Application Name</t>
  </si>
  <si>
    <t>JioSignage</t>
  </si>
  <si>
    <t>Jio Signage Android App Version</t>
  </si>
  <si>
    <t>JS_3.13.apk</t>
  </si>
  <si>
    <t>JioSignage Portal v 8.7</t>
  </si>
  <si>
    <t>https://sit2.jiosignage.jio.com/</t>
  </si>
  <si>
    <t>Test Device : Model Number</t>
  </si>
  <si>
    <t>STB : MCM3000</t>
  </si>
  <si>
    <t>AOSP _FW _Version</t>
  </si>
  <si>
    <t>STB-JSB3000-4.75 E</t>
  </si>
  <si>
    <t>Test Item Name</t>
  </si>
  <si>
    <t>Test Cases Summary</t>
  </si>
  <si>
    <t>VIT Rating</t>
  </si>
  <si>
    <t>Total</t>
  </si>
  <si>
    <t>PASS</t>
  </si>
  <si>
    <t>FAIL</t>
  </si>
  <si>
    <t>NA</t>
  </si>
  <si>
    <t>NT</t>
  </si>
  <si>
    <t>EXECUTION %</t>
  </si>
  <si>
    <t>PASS %</t>
  </si>
  <si>
    <t>Login &amp; Profile</t>
  </si>
  <si>
    <t>Dashboard</t>
  </si>
  <si>
    <t>Materials</t>
  </si>
  <si>
    <t>Layout</t>
  </si>
  <si>
    <t>Layout Approval</t>
  </si>
  <si>
    <t>Playlists</t>
  </si>
  <si>
    <t>Schedules</t>
  </si>
  <si>
    <t>Displays</t>
  </si>
  <si>
    <t>User Access</t>
  </si>
  <si>
    <t>Display Status</t>
  </si>
  <si>
    <t>Live Monitoring</t>
  </si>
  <si>
    <t>Reports</t>
  </si>
  <si>
    <t>Emergency Alerts</t>
  </si>
  <si>
    <t>System Test</t>
  </si>
  <si>
    <t>Long Duration</t>
  </si>
  <si>
    <t>TOTAL</t>
  </si>
  <si>
    <t>Sr. No</t>
  </si>
  <si>
    <t>Test Type</t>
  </si>
  <si>
    <t>Functionality Name</t>
  </si>
  <si>
    <t>Sub Functionality</t>
  </si>
  <si>
    <t>Test Objective</t>
  </si>
  <si>
    <t>Test Steps</t>
  </si>
  <si>
    <t xml:space="preserve">Expected Behaviour </t>
  </si>
  <si>
    <t>Automation test case name</t>
  </si>
  <si>
    <t>Result</t>
  </si>
  <si>
    <t>Comment</t>
  </si>
  <si>
    <t>TC1</t>
  </si>
  <si>
    <t>Functionality</t>
  </si>
  <si>
    <t>Sign In</t>
  </si>
  <si>
    <t>Launch Sign In Page</t>
  </si>
  <si>
    <t>Check that user is able to open Sign In Page</t>
  </si>
  <si>
    <t xml:space="preserve">1. Launch JioSignage  Sign In Page : https://digitalsignage.jio.com/users/sign in .
</t>
  </si>
  <si>
    <t>Following are expected behaviour 
1. User should be able to launch Sign In page in browser.
2. URL is shown is correct on login.
3. All contents are displayed properly.
4. Verify that screen is not going beyond display limit.</t>
  </si>
  <si>
    <t>test_SignIn_Page</t>
  </si>
  <si>
    <t>TC2</t>
  </si>
  <si>
    <t>Verify the UI/UX of JioSignage page.</t>
  </si>
  <si>
    <t>1. Launch JioSignage  Sign In Page : https://digitalsignage.jio.com/users/sign in .
2.Now observe the sign in page alignment and text.</t>
  </si>
  <si>
    <t>User should able to launch JioSignage in browser and all UI is user understandable &amp; User experience interaction is simple and easily understandable.</t>
  </si>
  <si>
    <t>test_SignIn_Page_UIUX</t>
  </si>
  <si>
    <t>TC3</t>
  </si>
  <si>
    <t>Verify user able to see the JioSignage logo in JioSignage login page.</t>
  </si>
  <si>
    <t>1. Launch JioSignage  Sign In Page : https://digitalsignage.jio.com/users/sign in .
2.Now observe the sign in page alignment.</t>
  </si>
  <si>
    <t>JioSignage logo should available in top left.</t>
  </si>
  <si>
    <t>test_SignIn_Page_JioSignageLogo</t>
  </si>
  <si>
    <t>TC4</t>
  </si>
  <si>
    <t>Check user able to enter any text in Email address field.</t>
  </si>
  <si>
    <t>1. Launch JioSignage  Sign In Page : https://digitalsignage.jio.com/users/sign in .
2.Now enter any text in email address field and observe.</t>
  </si>
  <si>
    <t>User should able to enter the text and also able to edit.</t>
  </si>
  <si>
    <t>test_EmailTextbox</t>
  </si>
  <si>
    <t>TC5</t>
  </si>
  <si>
    <t>Check user able to enter the text in Password field.</t>
  </si>
  <si>
    <t>1. Launch JioSignage  Sign In Page : https://digitalsignage.jio.com/users/sign in .
2.Now enter any in password field and observe.</t>
  </si>
  <si>
    <t>test_PasswordTextbox</t>
  </si>
  <si>
    <t>TC6</t>
  </si>
  <si>
    <t>Verify user is able to click password show icon in JioSignage login page.</t>
  </si>
  <si>
    <t>1. Launch JioSignage  Sign In Page : https://digitalsignage.jio.com/users/sign in .
2.Now enter any in password field and observe.
3Now click on eye icon from password field and observe the behaviour.
4.observe</t>
  </si>
  <si>
    <t>User should able to select the eye icon from password field.</t>
  </si>
  <si>
    <t>test_PasswordTextbox_showPasswordBtn</t>
  </si>
  <si>
    <t>TC7</t>
  </si>
  <si>
    <t>Verify user able to select the remember me option in JioSignage page.</t>
  </si>
  <si>
    <t>1. Launch JioSignage  Sign In Page : https://digitalsignage.jio.com/users/sign in .
2.Now enter any in password field and observe.
3.Now click on eye icon from password field and observe the behaviour.
4.Now select the remember me option and observe the behaviour.</t>
  </si>
  <si>
    <t>User should able to select the remember me option in JioSignage page.</t>
  </si>
  <si>
    <t>test_RememberMeOption</t>
  </si>
  <si>
    <t>TC8</t>
  </si>
  <si>
    <t>Forgot Option</t>
  </si>
  <si>
    <t>Verify user able to create new password by using password forgot option.</t>
  </si>
  <si>
    <t>1. Launch JioSignage  Sign In Page : https://digitalsignage.jio.com/users/sign in .
2.Now enter your register email id and click on forget option&gt;enter your email and click on submit&gt;and check on your register mail and create new password.</t>
  </si>
  <si>
    <t>User should able to reset the password by clicking forget option and able to reset the password.</t>
  </si>
  <si>
    <t>TC9</t>
  </si>
  <si>
    <t>Verify user able to login using valid credentials in JioSignage login page.</t>
  </si>
  <si>
    <t>1. Launch JioSignage  Sign In Page : https://digitalsignage.jio.com/users/sign in .
2.Now enter your register email id in email id field.
3.Now enter the password in password field.
4.Click on get opt.
5.Now check your register mobile number or email.
6.Now click on submit OTP and observe the behaviour.</t>
  </si>
  <si>
    <t>User should able to login using valid credentials.</t>
  </si>
  <si>
    <t>test_LoginWithValidCredential</t>
  </si>
  <si>
    <t>TC10</t>
  </si>
  <si>
    <t>OTP</t>
  </si>
  <si>
    <t>Verify user able to select the submit OTP in Enter OTP page.</t>
  </si>
  <si>
    <t xml:space="preserve">1. Launch JioSignage  Sign In Page : https://digitalsignage.jio.com/users/sign in .
2.Now enter your register email id in email id field.
3.Now enter the password in password field.
4.Click on get opt.
5.Now check your register mobile number or email.
6.Enter 6 digits OTP and click on submit OTP and observe the behaviour.
</t>
  </si>
  <si>
    <t>User able to enter the OTP and able to login in JioSignage page</t>
  </si>
  <si>
    <t>TC11</t>
  </si>
  <si>
    <t>Verify user able to see &amp; click on resend OTP in enter OTP page.</t>
  </si>
  <si>
    <t xml:space="preserve">1. Launch JioSignage  Sign In Page : https://digitalsignage.jio.com/users/sign in .
2.Now enter your register email id in email id field.
3.Now enter the password in password field.
4.Click on get opt.
5.Now check your register mobile number or email.
6.Enter 6 digits OTP and click on resend OTP and observe.
</t>
  </si>
  <si>
    <t>User able to click resend OTP option in enter OTP page.</t>
  </si>
  <si>
    <t>TC12</t>
  </si>
  <si>
    <t>Verify user able to click back button to redirect previous page from OTP page.</t>
  </si>
  <si>
    <t>1. Launch JioSignage  Sign In Page : https://digitalsignage.jio.com/users/sign in .
2.Now enter your register email id in email id field.
3.Now enter the password in password field.
4.Click on get OTP.
5.Now check your register mobile number or email.
6.Enter 6 digits OTP and click on back button and observe.</t>
  </si>
  <si>
    <t>User should able to redirect to previous page .</t>
  </si>
  <si>
    <t>test_back_button_fromOTP_page</t>
  </si>
  <si>
    <t>TC13</t>
  </si>
  <si>
    <t xml:space="preserve">Verify able to regenerate OTP </t>
  </si>
  <si>
    <t>1.Launch JioSignage Sign in Page: https://digitalsignage.jio.com/users/sign_in .  
2.Enter valid email and password
3.Click on Get OTP
4.Enter the password received in Email after 6 mins.
5.Click on Regenerate on OTP Expired OSD.
6.Observe</t>
  </si>
  <si>
    <t>User should be able to regenerate OTP</t>
  </si>
  <si>
    <t>TC14</t>
  </si>
  <si>
    <t>Profile</t>
  </si>
  <si>
    <t>check user able to select the view profile option.</t>
  </si>
  <si>
    <t>Precondition: Register your email id and mobile number in JioSignage with help of existing SP user.
1.Enter URL in address bar JioSignage  Sign In Page
 :https://digitalsignage.jio.com/users/sign in .
2.Now enter valid credentials and click on get opt.
3.Enter OTP and click on submit opt.
4.click on profile icon top right 1st option and observe the behaviour.</t>
  </si>
  <si>
    <t>It should redirect to profile page and user will see the User Name,
Email Address,
Phone number,
Password.</t>
  </si>
  <si>
    <t>test_viewProfile</t>
  </si>
  <si>
    <t>TC15</t>
  </si>
  <si>
    <t>Update User Name</t>
  </si>
  <si>
    <t>check user able to update the user name.</t>
  </si>
  <si>
    <t>1.Enter URL in address bar JioSignage  Sign In Page :https://digitalsignage.jio.com/users/sign in .
2.Now enter valid credentials and click on get opt.
3.Enter OTP and click on submit opt.
4.click on profile icon top right 1st option&gt;click on edit option in username&gt;new user name&gt;edit name&gt;click on save option and observe the behaviour.</t>
  </si>
  <si>
    <t>user details has been successfully updated" pop up message should display on screen.</t>
  </si>
  <si>
    <t>test_verifyeditusername</t>
  </si>
  <si>
    <t>TC16</t>
  </si>
  <si>
    <t>check user able to click "save" and "cancel "option" from user name OSD.</t>
  </si>
  <si>
    <t>1.Enter URL in address bar JioSignage  Sign In Page :https://digitalsignage.jio.com/users/sign in .
2.Now enter valid credentials and click on get opt.
3.Enter OTP and click on submit opt.
4.click on profile icon top right 1st option&gt;click on edit option in username&gt;edit name&gt;click on save and cancel option and observe the behaviour.</t>
  </si>
  <si>
    <t>User should able to select the save and cancel option.</t>
  </si>
  <si>
    <t>test_editUserName_SAVE_CANCEL_BTN</t>
  </si>
  <si>
    <t>TC17</t>
  </si>
  <si>
    <t>check user able to update the phone number.</t>
  </si>
  <si>
    <t>1.Enter URL in address bar JioSignage  Sign In Page :https://digitalsignage.jio.com/users/sign in .
2.Now enter valid credentials and click on get opt.
3.Enter OTP and click on submit opt.
4.click on profile icon top right 1st option&gt;click on edit option in phone number&gt;new phone number&gt;edit number&gt;click on save option and observe the behaviour.</t>
  </si>
  <si>
    <t>test_editphonenumber</t>
  </si>
  <si>
    <t>TC18</t>
  </si>
  <si>
    <t>check user able to click "save" and "cancel "option" from new phone number OSD.</t>
  </si>
  <si>
    <t>1.Enter URL in address bar JioSignage  Sign In Page :https://digitalsignage.jio.com/users/sign in .
2.Now enter valid credentials and click on get opt.
3.Enter OTP and click on submit opt.
4.click on profile icon top right 1st option&gt;click on edit option in phone number&gt;edit  phone number&gt;click on save and cancel option and observe the behaviour.</t>
  </si>
  <si>
    <t>test_editPhoneNumber_SAVE_CANCEL_BTN</t>
  </si>
  <si>
    <t>TC19</t>
  </si>
  <si>
    <t>verify user able to close the new phone number OSD by clicking "X"</t>
  </si>
  <si>
    <t>1.Enter URL in address bar JioSignage  Sign In Page :https://digitalsignage.jio.com/users/sign in .
2.Now enter valid credentials and click on get opt.
3.Enter OTP and click on submit opt.
4.click on profile icon top right 1st option&gt;click on edit option in phone number&gt;edit  phone number&gt;click on "X" option and observe.</t>
  </si>
  <si>
    <t>User should able to select "X" option.</t>
  </si>
  <si>
    <t>test_editPhoneNumber_X_BTN</t>
  </si>
  <si>
    <t>TC20</t>
  </si>
  <si>
    <t>check user able to update the password.</t>
  </si>
  <si>
    <t>1.Enter URL in address bar JioSignage  Sign In Page :https://digitalsignage.jio.com/users/sign in .
2.Now enter valid credentials and click on get opt.
3.Enter OTP and click on submit opt.
4.click on profile icon top right 1st option&gt;click on edit option in password field&gt;enter password on new password field&gt;New password confirm field&gt;click on save option and observe the behaviour.</t>
  </si>
  <si>
    <t>user details has been successfully updated" toast message should display on screen and user gets logout.</t>
  </si>
  <si>
    <t>TC21</t>
  </si>
  <si>
    <t>Check user able to update the password with two different password in two different field and observe.</t>
  </si>
  <si>
    <t>1.Enter URL in address bar JioSignage  Sign In Page :https://digitalsignage.jio.com/users/sign in .
2.Now enter valid credentials and click on get opt.
3.Enter OTP and click on submit opt.
4.click on profile icon top right 1st option&gt;click on edit option in password field&gt;enter password on new password field&gt;In New password confirm field enter another password which is different for new password field&gt;click on save option and observe the behaviour.</t>
  </si>
  <si>
    <t>It should lead error message on display "Doesn't match confirmation".</t>
  </si>
  <si>
    <t>test_twoDifferentPassword_alert</t>
  </si>
  <si>
    <t>TC22</t>
  </si>
  <si>
    <t>check user able to click "save" and "cancel "option" from new password OSD.</t>
  </si>
  <si>
    <t>1.Enter URL in address bar JioSignage  Sign In Page :https://digitalsignage.jio.com/users/sign in .
2.Now enter valid credentials and click on get opt.
3.Enter OTP and click on submit opt.
4.click on profile icon top right 1st option&gt;click on edit option in password field&gt;enter password on new password field&gt;New password confirm field&gt;click on save and cancel option and observe.</t>
  </si>
  <si>
    <t>TC23</t>
  </si>
  <si>
    <t>verify user able to close the new password OSD by clicking "X"</t>
  </si>
  <si>
    <t>1.Enter URL in address bar JioSignage  Sign In Page :https://digitalsignage.jio.com/users/sign in .
2.Now enter valid credentials and click on get opt.
3.Enter OTP and click on submit opt.
4.click on profile icon top right 1st option&gt;click on edit option in  password&gt;edit  password&gt;click on "X" option and observe.</t>
  </si>
  <si>
    <t>test_editPassword_X_BTN</t>
  </si>
  <si>
    <t>TC24</t>
  </si>
  <si>
    <t>Service Plan</t>
  </si>
  <si>
    <t>Verify user able to select the view service plan from profile.</t>
  </si>
  <si>
    <t>1.Enter URL in address bar JioSignage  Sign In Page :https://digitalsignage.jio.com/users/sign in .
2.Now enter valid credentials and click on get opt.
3.Enter OTP and click on submit opt.
4.click on profile icon top right 1st option&gt;click on view service plan and observe the behaviour.</t>
  </si>
  <si>
    <t xml:space="preserve">It should redirect to service plan page it should display Plan Name
Demo.
Server Usage.
Number of Display.
</t>
  </si>
  <si>
    <t>test_ViewServicePlan</t>
  </si>
  <si>
    <t>TC25</t>
  </si>
  <si>
    <t>Help</t>
  </si>
  <si>
    <t>Verify user able to select the help option from profile icon.</t>
  </si>
  <si>
    <t>1.Enter URL in address bar JioSignage  Sign In Page :https://digitalsignage.jio.com/users/sign in .
2.Now enter valid credentials and click on get opt.
3.Enter OTP and click on submit opt.
4.click on profile icon top right 1st option&gt;click on help option and observe the behaviour.</t>
  </si>
  <si>
    <t xml:space="preserve">It should redirect to help line page.
</t>
  </si>
  <si>
    <t>test_Help_Page</t>
  </si>
  <si>
    <t>TC26</t>
  </si>
  <si>
    <t>Logout</t>
  </si>
  <si>
    <t>Verify user able to select the logout option from profile icon.</t>
  </si>
  <si>
    <t>1.Enter URL in address bar JioSignage  Sign In Page :https://digitalsignage.jio.com/users/sign in .
2.Now enter valid credentials and click on get opt.
3.Enter OTP and click on submit opt.
4.click on profile icon top right 1st option&gt;click on logout &gt;click on option and observe the behaviour.</t>
  </si>
  <si>
    <t>User should logout the JioSignage page by clicking logout.</t>
  </si>
  <si>
    <t>test_LogoutOption</t>
  </si>
  <si>
    <t xml:space="preserve">Expected Behavior </t>
  </si>
  <si>
    <t>Automation TC Name</t>
  </si>
  <si>
    <t>Launch dashboard.</t>
  </si>
  <si>
    <t>Verify able to see the JioSignage welcome page with JioSignage logo.</t>
  </si>
  <si>
    <t>1.Enter URL in address bar JioSignage Sign In Page :https://digitalsignage.jio.com/users/sign in .
2.Now enter valid credentials and click on get OTP .
3.Enter OTP  and click on submit OTP .
4.Now observe the JioSignage logo in left top.</t>
  </si>
  <si>
    <t>User should able to see the JioSignage logo or icon in left top corner after successful login using valid credentials.</t>
  </si>
  <si>
    <t>test_verifySignageWelcomePage</t>
  </si>
  <si>
    <t>Verify able to see the welcome page message on top left.</t>
  </si>
  <si>
    <t>1.Enter URL in address bar JioSignage Sign In Page :https://digitalsignage.jio.com/users/sign in .
2.Now enter valid credentials and click on get OTP .
3.Enter OTP  and click on submit OTP .
4.Observe the welcome message.</t>
  </si>
  <si>
    <t xml:space="preserve"> User should able to see the welcome message with "Track, Analyse and report all content displayed on the display".</t>
  </si>
  <si>
    <t>test_verifyWelcomeHeading</t>
  </si>
  <si>
    <t>JioSignage Logo</t>
  </si>
  <si>
    <t>Check the behavior when click on JioSignage logo</t>
  </si>
  <si>
    <t>1.Enter URL in address bar JioSignage Sign In Page :https://digitalsignage.jio.com/users/sign in .
2.Now enter valid credentials and click on get OTP .
3.Enter OTP  and click on submit OTP .
4.Observe the home screen &gt; go to other menu option screen e.g.  select delivery management  &gt; observe the delivery management screen.
5.Click on JioSignage logo from the top left of the screen.
6.Observe the behavior.</t>
  </si>
  <si>
    <t>User should be redirected to the dashboard screen from any other option screen when click on the JioSignage logo.</t>
  </si>
  <si>
    <t>test_signageLogo</t>
  </si>
  <si>
    <t>Display License</t>
  </si>
  <si>
    <t>Verify user able to see the total display license details count.</t>
  </si>
  <si>
    <t>1.Enter URL in address bar JioSignage Sign In Page :https://digitalsignage.jio.com/users/sign in .
2.Now enter valid credentials and click on get OTP .
3.Enter OTP  and click on submit OTP .
4.Observe the display license count.</t>
  </si>
  <si>
    <t>User should able to see the total display count details in display license box.</t>
  </si>
  <si>
    <t>test_verifyDisplayCount</t>
  </si>
  <si>
    <t>Verify used/remain storage details in display license feature.</t>
  </si>
  <si>
    <t>1.Enter URL in address bar JioSignage Sign In Page :https://digitalsignage.jio.com/users/sign in .
2.Now enter valid credentials and click on get OTP .
3.Enter OTP  and click on submit OTP .
4.Observe the Used/Remaining storage status on display license box.</t>
  </si>
  <si>
    <t>User should able to see, how many  license displays are used and how many are remaining clearly.</t>
  </si>
  <si>
    <t>test_verifyUsedDisplayCount</t>
  </si>
  <si>
    <t>Verify Total display license details and used/remain details in display license feature are correct</t>
  </si>
  <si>
    <t>1.Enter URL in address bar JioSignage Sign In Page :https://digitalsignage.jio.com/users/sign in .
2.Now enter valid credentials and click on get OTP .
3.Enter OTP  and click on submit OTP .
4.Verify Total display license details &amp; Used/Remaining details on display license box are correct.</t>
  </si>
  <si>
    <t>Total , Used , Remaining display count should be as per plan and as per usage.</t>
  </si>
  <si>
    <t>test_verifyUsedRemainingLicense</t>
  </si>
  <si>
    <t>Storage</t>
  </si>
  <si>
    <t>Verify  user able to see the total storage details on storage box in dashboard page.</t>
  </si>
  <si>
    <t>1.Enter URL in address bar JioSignage Sign In Page :https://digitalsignage.jio.com/users/sign in .
2.Now enter valid credentials and click on get OTP .
3.Enter OTP  and click on submit OTP .
4.Now observe the storage box total storage.</t>
  </si>
  <si>
    <t>User should able to see the total storage details like circle shape with 2048mb.</t>
  </si>
  <si>
    <t>test_verifyUsedRemainStorage</t>
  </si>
  <si>
    <t>Verify storage details on storage box in dashboard page are correct.</t>
  </si>
  <si>
    <t>1.Enter URL in address bar JioSignage Sign In Page :https://digitalsignage.jio.com/users/sign in .
2.Now enter valid credentials and click on get OTP .
3.Enter OTP  and click on submit OTP .
4. Verify Total storage , remaining storage details are correct</t>
  </si>
  <si>
    <t>Total , Used , Remaining storage should be as per plan and as per usage , should show correct details</t>
  </si>
  <si>
    <t>test_verifyUsedStorage</t>
  </si>
  <si>
    <t>Check user able to see the remaining storage details on storage box in dashboard page.</t>
  </si>
  <si>
    <t>1.Enter URL in address bar JioSignage Sign In Page :https://digitalsignage.jio.com/users/sign in .
2.Now enter valid credentials and click on get OTP .
3.Enter OTP and click on submit OTP .
4.Now place the pointer on remaining indication color and observe the behavior.</t>
  </si>
  <si>
    <t>User should able to see the remaining details with MB  when we place on remaining storage circle.</t>
  </si>
  <si>
    <t>test_getStorageDataFromCanvas</t>
  </si>
  <si>
    <t>Check user able to see the service plan page when we click on used storage and observe.</t>
  </si>
  <si>
    <t>1.Enter URL in address bar JioSignage Sign In Page :https://digitalsignage.jio.com/users/sign in .
2.Now enter valid credentials and click on get OTP .
3.Enter OTP and click on submit OTP .
4.Now click on used storage and observe.</t>
  </si>
  <si>
    <t>After clicking on used MB  data its redirecting to service plan page.</t>
  </si>
  <si>
    <t>test_verifyStorageLink</t>
  </si>
  <si>
    <t>Verify server usage details on service plan page.</t>
  </si>
  <si>
    <t>1.Enter URL in address bar JioSignage Sign In Page :https://digitalsignage.jio.com/users/sign in .
2.Now enter valid credentials and click on get OTP .
3.Enter OTP and click on submit OTP .
4.Now click on used storage and observe the server usage and number of display details with used and remaining details.</t>
  </si>
  <si>
    <t>It should show the service usage and number of display play details with proper used and remaining data in detailed in service plan page.</t>
  </si>
  <si>
    <t>test_verify_serverUsage</t>
  </si>
  <si>
    <t>Media Uploaded</t>
  </si>
  <si>
    <t>Check user able to see the media uploaded details box in dashboard page.</t>
  </si>
  <si>
    <t>1.Enter URL in address bar JioSignage Sign In Page :https://digitalsignage.jio.com/users/sign in .
2.Now enter valid credentials and click on get OTP .
3.Enter OTP and click on submit OTP .
4.Now observe the media uploaded feature box.</t>
  </si>
  <si>
    <t>User should able to see the media uploaded box in 2nd row 1st column</t>
  </si>
  <si>
    <t>test_verify_media_uploaded_location</t>
  </si>
  <si>
    <t>Verify user able to see the images details after clicking images text inside media uploaded.</t>
  </si>
  <si>
    <t>1.Enter URL in address bar JioSignage Sign In Page :https://digitalsignage.jio.com/users/sign in .
2.Now enter valid credentials and click on get OTP .
3.Enter OTP and click on submit OTP .
4.Now observe the media uploaded feature box.
5.Now click on Images and observe the behavior.</t>
  </si>
  <si>
    <t>It should redirect to media page and  it should shows all images list with details like thumbnail, name, folder, details, file type and uploaded at and logs details will shows on display.</t>
  </si>
  <si>
    <t>test_verifyUploadedImagesCount</t>
  </si>
  <si>
    <t>Verify user able to see the video details after clicking video text inside media uploaded.</t>
  </si>
  <si>
    <t>1.Enter URL in address bar JioSignage Sign In Page :https://digitalsignage.jio.com/users/sign in .
2.Now enter valid credentials and click on get OTP .
3.Enter OTP and click on submit OTP .
4.Now observe the media uploaded feature box.
5.Now click on videos option and observe the behavior.</t>
  </si>
  <si>
    <t>It should redirect to material page and  it shows all video list with details like thumbnail, name, folder, details, file type and uploaded at, logs details will shows on display.</t>
  </si>
  <si>
    <t>test_verifyUploadedVideoCount</t>
  </si>
  <si>
    <t>Verify user able to see the documents details after clicking document text number inside media uploaded.</t>
  </si>
  <si>
    <t>1.Enter URL in address bar JioSignage Sign In Page :https://digitalsignage.jio.com/users/sign in .
2.Now enter valid credentials and click on get OTP .
3.Enter OTP and click on submit OTP .
4.Now observe the media uploaded feature box.
5.Now click on documents number option and observe the behavior.</t>
  </si>
  <si>
    <t>It should redirect to material page and  it shows all documents list with details like thumbnail, name, folder, details, file type and uploaded at, logs details will shows on display.</t>
  </si>
  <si>
    <t>test_verifyUploadedDocCount</t>
  </si>
  <si>
    <t>Verify user able to see the audio details after clicking Audio text inside media uploaded.</t>
  </si>
  <si>
    <t>1.Enter URL in address bar JioSignage Sign In Page :https://digitalsignage.jio.com/users/sign in .
2.Now enter valid credentials and click on get OTP .
3.Enter OTP and click on submit OTP .
4.Now observe the media uploaded feature box.
5.Now click on audio number option and observe the behavior.</t>
  </si>
  <si>
    <t>It should redirect to material page and  it shows all audio list with details like thumbnail, name, folder, details, file type and uploaded at, logs details will shows on display.</t>
  </si>
  <si>
    <t>test_verifyUploadAudioCount</t>
  </si>
  <si>
    <t>Check Images Added are reflecting in Dashboard inside media uploaded section</t>
  </si>
  <si>
    <t>1.Signin into Jio Signage with valid credentials.
2. Hover over content management
3. Click on Media
4. Click on Add new media
5. Upload an image
6. Navigate to Dashboard
7. Check count of added Images in Dashboard under Media uploaded</t>
  </si>
  <si>
    <t xml:space="preserve">Count of Added Images should reflect under Media Uploaded </t>
  </si>
  <si>
    <t>test_verifyImageUpload</t>
  </si>
  <si>
    <t>Check Images deleted are reflecting in Dashboard inside media uploaded section</t>
  </si>
  <si>
    <t>1.Signin into Jio Signage with valid credentials.
2. Hover over content.
3. Click on Materials
4. Select an Image
5. Click on 3 dots
6. Click on move to trash
7. Navigate to Dashboard
8. Check count of deleted Images  reflected in Dashboard under Media uploaded</t>
  </si>
  <si>
    <t xml:space="preserve">Count of Deleted Images should reflect under Media Uploaded </t>
  </si>
  <si>
    <t>test_verifyDeleteImage</t>
  </si>
  <si>
    <t>Check Videos Added are reflecting in Dashboard inside media uploaded section</t>
  </si>
  <si>
    <t>1.Signin into Jio Signage with valid credentials.
2. Hover over content.
3. Click on Materials
4. Click on Add new material
5. Upload a Video
6. Navigate to Dashboard
7. Check count of added Videos  in Dashboard under Media uploaded</t>
  </si>
  <si>
    <t xml:space="preserve">Count of Added Video should reflect under Media Uploaded </t>
  </si>
  <si>
    <t>test_verifyVideoUpload</t>
  </si>
  <si>
    <t>Check Videos deleted are reflecting in Dashboard inside media uploaded section</t>
  </si>
  <si>
    <t>1.Signin into Jio Signage with valid credentials.
2. Hover over content.
3. Click on Materials
4. Select a Video
5. Click on 3 dots
6. Click on move to trash
7. Navigate to Dashboard
8. Check count of deleted Videos  in Dashboard under Media uploaded</t>
  </si>
  <si>
    <t xml:space="preserve">Count of Deleted Videos should reflect under Media Uploaded </t>
  </si>
  <si>
    <t>test_verifyVideoCountAfterDelete</t>
  </si>
  <si>
    <t>Check Audios Added are reflecting in Dashboard inside media uploaded section</t>
  </si>
  <si>
    <t>1.Signin into Jio Signage with valid credentials.
2. Hover over content.
3. Click on Materials
4. Click on Add new material
5. Upload an Audio
6. Navigate to Dashboard
7. Check count of added Audio in Dashboard under Media uploaded</t>
  </si>
  <si>
    <t>Count of Added Video should reflect under Media Uploaded</t>
  </si>
  <si>
    <t>test_verifyUploadAudioContent</t>
  </si>
  <si>
    <t>Check Audios deleted are reflecting in Dashboard inside media uploaded section</t>
  </si>
  <si>
    <t>1.Signin into Jio Signage with valid credentials.
2. Hover over content.
3. Click on Materials
4. Select an Audio
5. Click on 3 dots
6. Click on move to trash
7. Navigate to Dashboard
8. Check count of deleted Audio in Dashboard under Media uploaded</t>
  </si>
  <si>
    <t xml:space="preserve">Count of Deleted Audios should reflect under Media Uploaded </t>
  </si>
  <si>
    <t>test_verifyDeleteAudio</t>
  </si>
  <si>
    <t>Check Documents Added are reflecting in Dashboard  inside media uploaded section</t>
  </si>
  <si>
    <t>1.Signin into Jio Signage with valid credentials.
2. Hover over content.
3. Click on Materials
4. Click on Add new material
5. Upload a Document
6. Navigate to Dashboard
7. Check count of added Document  in Dashboard under Media uploaded</t>
  </si>
  <si>
    <t>Count of Added Document should reflect under Media Uploaded</t>
  </si>
  <si>
    <t>test_verifyUploadDocContent</t>
  </si>
  <si>
    <t>Check Documents deleted are reflecting in Dashboard inside media uploaded section</t>
  </si>
  <si>
    <t>1.Signin into Jio Signage with valid credentials.
2. Hover over content.
3. Click on Materials
4. Select a Document
5. Click on 3 dots
6. Click on move to trash
7. Navigate to Dashboard
8. Check count of deleted Document  in Dashboard under Media uploaded</t>
  </si>
  <si>
    <t xml:space="preserve">Count of Deleted Document should reflect under Media Uploaded </t>
  </si>
  <si>
    <t>test_verifyDeleteDocument</t>
  </si>
  <si>
    <t>Verify user able to see the total  count in layout box.</t>
  </si>
  <si>
    <t>1.Enter URL in address bar JioSignage Sign In Page :https://digitalsignage.jio.com/users/sign in .
2.Now enter valid credentials and click on get OTP .
3.Enter OTP and click on submit OTP .
4.Now observe the layout feature box.</t>
  </si>
  <si>
    <t>User should able to see the total count of layout</t>
  </si>
  <si>
    <t>test_getContentCount</t>
  </si>
  <si>
    <t>TC27</t>
  </si>
  <si>
    <t>Verify user able to see the approved status in layout session.</t>
  </si>
  <si>
    <t>.1.Enter URL in address bar JioSignage Sign In Page :https://digitalsignage.jio.com/users/sign in .
2.Now enter valid credentials and click on get OTP .
3.Enter OTP and click on submit OTP .
4.Now observe the layout feature box.
5.Now observe the approved status.</t>
  </si>
  <si>
    <t>It should show total approved layout count on layout section in dashboard.</t>
  </si>
  <si>
    <t>test_verifyApprovedContentCount</t>
  </si>
  <si>
    <t>TC28</t>
  </si>
  <si>
    <t>Verify user able to see the expires in week status from layout section.</t>
  </si>
  <si>
    <t>1.Enter URL in address bar JioSignage Sign In Page :https://digitalsignage.jio.com/users/sign in .
2.Now enter valid credentials and click on get OTP .
3.Enter OTP and click on submit OTP .
4.Now observe the layout feature box.
5.Now  observe the expires in week status.</t>
  </si>
  <si>
    <t>It should list the expire status in expires in week section.</t>
  </si>
  <si>
    <t>test_verify_7_days_expire_content</t>
  </si>
  <si>
    <t>TC29</t>
  </si>
  <si>
    <t>Verify user able to see the expired status from layout section.</t>
  </si>
  <si>
    <t>1.Enter URL in address bar JioSignage Sign In Page :https://digitalsignage.jio.com/users/sign in .
2.Now enter valid credentials and click on get OTP .
3.Enter OTP and click on submit OTP .
4.Now observe the layout feature box.
5.Now  observe the expired status.</t>
  </si>
  <si>
    <t>It should list the expired status in expired section.</t>
  </si>
  <si>
    <t>test_verify_expired_content</t>
  </si>
  <si>
    <t>TC30</t>
  </si>
  <si>
    <t>Click on expires in week section and observe the behavior.</t>
  </si>
  <si>
    <t>1.Enter URL in address bar JioSignage Sign In Page :https://digitalsignage.jio.com/users/sign in .
2.Now enter valid credentials and click on get OTP .
3.Enter OTP and click on submit OTP .
4.Now observe the content feature box.
5.Now  click on  expires in week status section and observe.</t>
  </si>
  <si>
    <t>It should redirect to content page and  it will list out all going to expire details .</t>
  </si>
  <si>
    <t>test_verify_7_days_expire_content_url</t>
  </si>
  <si>
    <t>TC31</t>
  </si>
  <si>
    <t>Click on expired section and observe the behavior.</t>
  </si>
  <si>
    <t>1.Enter URL in address bar JioSignage Sign In Page :https://digitalsignage.jio.com/users/sign in .
2.Now enter valid credentials and click on get OTP .
3.Enter OTP and click on submit OTP .
4.Now observe the content feature box.
5.Now  click on  expired section and observe.</t>
  </si>
  <si>
    <t>It should redirect to content page and  it will list out all expired details .</t>
  </si>
  <si>
    <t>test_verify_expired_content_url</t>
  </si>
  <si>
    <t>TC32</t>
  </si>
  <si>
    <t>Check content pending for Approval are correctly reflecting in dashboard</t>
  </si>
  <si>
    <t xml:space="preserve">1.Signin into Jio Signage with valid credentials.
2. Upload a material
3. Create content using uploaded material
4. On the edit content page, click on request for Approval
5.  Navigate to dashboard
6. Observe the count of  Content Pending for Approval </t>
  </si>
  <si>
    <t>Count of Content pending for approval should be shown correctly</t>
  </si>
  <si>
    <t>test_verifyPendingApprovalContentCount</t>
  </si>
  <si>
    <t>TC33</t>
  </si>
  <si>
    <t>Check total count is reflecting correctly in Content Section</t>
  </si>
  <si>
    <t>1.Signin into Jio Signage with valid credentials.
2. Upload a material
3. Create content using uploaded material
4. Navigate to dashboard
7. Observe the total count</t>
  </si>
  <si>
    <t>Total count should reflect correctly after uploading a content</t>
  </si>
  <si>
    <t>test_verify_content_count_after_add</t>
  </si>
  <si>
    <t>TC34</t>
  </si>
  <si>
    <t>Check user able to see the playlist  details box in dashboard page.</t>
  </si>
  <si>
    <t>1.Enter URL in address bar JioSignage Sign In Page :https://digitalsignage.jio.com/users/sign in .
2.Now enter valid credentials and click on get OTP .
3.Enter OTP and click on submit OTP .
4.Now observe the playlist feature box.</t>
  </si>
  <si>
    <t>User should able to see the media content box in 2nd row 3rd.</t>
  </si>
  <si>
    <t>test_PlaylistBox_location</t>
  </si>
  <si>
    <t>TC35</t>
  </si>
  <si>
    <t>Verify user able to see the total  count in playlist box.</t>
  </si>
  <si>
    <t>User should able to see the total count of playlist content.</t>
  </si>
  <si>
    <t>test_verify_PlaylistCount</t>
  </si>
  <si>
    <t>TC36</t>
  </si>
  <si>
    <t>Display</t>
  </si>
  <si>
    <t>Check user able to see the Display status  details box in dashboard page.</t>
  </si>
  <si>
    <t>1.Enter URL in address bar JioSignage Sign In Page :https://digitalsignage.jio.com/users/sign in .
2.Now enter valid credentials and click on get OTP .
3.Enter OTP and click on submit OTP .
4.Now observe the Display status feature box.</t>
  </si>
  <si>
    <t>User should able to see the display status box in 1st row 3rd,</t>
  </si>
  <si>
    <t>test_verifyDisplayStatusLocation</t>
  </si>
  <si>
    <t>TC37</t>
  </si>
  <si>
    <t>Verify user able to see the total display  details count.</t>
  </si>
  <si>
    <t>1.Enter URL in address bar JioSignage Sign In Page :https://digitalsignage.jio.com/users/sign in .
2.Now enter valid credentials and click on get OTP .
3.Enter OTP and click on submit OTP .
4.Check the Display status feature box.</t>
  </si>
  <si>
    <t>User should able to see the total display status count details in display status.</t>
  </si>
  <si>
    <t>test_verifyDisplayStatusCount</t>
  </si>
  <si>
    <t>TC38</t>
  </si>
  <si>
    <t>Verify online and offline details in display status section.</t>
  </si>
  <si>
    <t>1.Enter URL in address bar JioSignage Sign In Page :https://digitalsignage.jio.com/users/sign in .
2.Now enter valid credentials and click on get OTP .
3.Enter OTP and click on submit OTP .
4.Observe the online &amp; offline status on display status section.</t>
  </si>
  <si>
    <t xml:space="preserve">User should able to see, how many displays are online and how many are offline details </t>
  </si>
  <si>
    <t>test_verifyOnlineOfflineDisplay</t>
  </si>
  <si>
    <t>TC39</t>
  </si>
  <si>
    <t>Schedule</t>
  </si>
  <si>
    <t>Check user able to see the Schedules details box in dashboard page.</t>
  </si>
  <si>
    <t>1.Enter URL in address bar JioSignage Sign In Page :https://digitalsignage.jio.com/users/sign in .
2.Now enter valid credentials and click on get OTP .
3.Enter OTP and click on submit OTP .
4.Now observe the schedules feature box.</t>
  </si>
  <si>
    <t>User should able to see the media content box in 2nd row 4th.</t>
  </si>
  <si>
    <t>test_verifySchedulesLocation</t>
  </si>
  <si>
    <t>TC40</t>
  </si>
  <si>
    <t>Verify user able to see the total count in schedules section.</t>
  </si>
  <si>
    <t xml:space="preserve">1.Enter URL in address bar JioSignage Sign In Page :https://digitalsignage.jio.com/users/sign in .
2.Now enter valid credentials and click on get OTP .
3.Enter OTP and click on submit OTP .
4.Now content&gt;schedule &gt;click +&gt;add and observe the pop up&gt;click on dashboard.
5.Now observe the Schedules feature box.
</t>
  </si>
  <si>
    <t>User should able to see the total count of schedules details.</t>
  </si>
  <si>
    <t>test_verifyTotalSchedules</t>
  </si>
  <si>
    <t>TC41</t>
  </si>
  <si>
    <t>Check user able to see the tag wise display  box in dashboard page.</t>
  </si>
  <si>
    <t>1.Enter URL in address bar JioSignage Sign In Page :https://digitalsignage.jio.com/users/sign in .
2.Now enter valid credentials and click on get OTP .
3.Enter OTP and click on submit OTP .
4.Now observe the tag wise display feature box.</t>
  </si>
  <si>
    <t>User should able to see the tag wise  box in 3rd row 2nd.</t>
  </si>
  <si>
    <t>test_TagWIseDisplay_location</t>
  </si>
  <si>
    <t>TC42</t>
  </si>
  <si>
    <t>Verify user able to see the tool tip when place mouse on bar chat.</t>
  </si>
  <si>
    <t>1.Enter URL in address bar JioSignage Sign In Page :https://digitalsignage.jio.com/users/sign in .
2.Now enter valid credentials and click on get OTP .
3.Enter OTP and click on submit OTP .
4.Now observe the tag wise display feature box.
5.Now observe the status of the tag wise display details.
6.Now place on bar chat and observe the behavior.</t>
  </si>
  <si>
    <t>It should show tool tip with count.</t>
  </si>
  <si>
    <t>TC43</t>
  </si>
  <si>
    <t>Check user able to see the state wise display details box in dashboard page.</t>
  </si>
  <si>
    <t>1.Enter URL in address bar JioSignage Sign In Page :https://digitalsignage.jio.com/users/sign in .
2.Now enter valid credentials and click on get OTP .
3.Enter OTP and click on submit OTP .
4.Now observe the state wise display details box feature box.</t>
  </si>
  <si>
    <t>User should able to see the display status box in 4th row 1st,</t>
  </si>
  <si>
    <t>test_stateWIseDisplay_location</t>
  </si>
  <si>
    <t>TC44</t>
  </si>
  <si>
    <t>Verify user able to identify online and offline status.</t>
  </si>
  <si>
    <t xml:space="preserve">1.Enter URL in address bar JioSignage Sign In Page :https://digitalsignage.jio.com/users/sign in .
2.Now enter valid credentials and click on get OTP .
3.Enter OTP and click on submit OTP .
4.Now observe the city wise display details box.
5. Check the online &amp; offline graph details.
</t>
  </si>
  <si>
    <t>It should show color coating for  identification like for online&gt;light green and for offline blue.</t>
  </si>
  <si>
    <t>TC45</t>
  </si>
  <si>
    <t>Verify user able to switch  head user account to base account.</t>
  </si>
  <si>
    <t>1.Enter URL in address bar JioSignage Sign In Page :https://digitalsignage.jio.com/users/sign in .
2.Now enter valid credentials and click on get OTP .
3.Enter OTP and click on submit OTP .
4.click on head user top right 2nd option.
5.Click on switch to base account&gt;now click on search drop down and select any base account&gt;press ok  and observe the behavior.</t>
  </si>
  <si>
    <t>User should able to change the head user account to base account.</t>
  </si>
  <si>
    <t>test_verifyChangeBaseAccount</t>
  </si>
  <si>
    <t>TC46</t>
  </si>
  <si>
    <t>Verify ok and cancel button is working on select on base account page.</t>
  </si>
  <si>
    <t>1.Enter URL in address bar JioSignage Sign In Page :https://digitalsignage.jio.com/users/sign in .
2.Now enter valid credentials and click on get OTP .
3.Enter OTP and click on submit OTP .
4.click on head user top right 2nd option.
5.Click on switch to base account&gt;now click on search drop down and select any base account&gt;press ok  and cancel button and observe the behavior.</t>
  </si>
  <si>
    <t xml:space="preserve">"Ok" and "cancel" button should work after selecting any base item from the list. </t>
  </si>
  <si>
    <t>test_verifyOkCancelButtonOnChangeAccount</t>
  </si>
  <si>
    <t>TC47</t>
  </si>
  <si>
    <t>Check user able to select the view profile OTP ion.</t>
  </si>
  <si>
    <t>1.Enter URL in address bar JioSignage Sign In Page :https://digitalsignage.jio.com/users/sign in .
2.Now enter valid credentials and click on get OTP .
3.Enter OTP and click on submit OTP .
4.click on profile icon top right 1st OTP ion and observe the behaviour.</t>
  </si>
  <si>
    <t>test_verifyProfileOptions</t>
  </si>
  <si>
    <t>TC48</t>
  </si>
  <si>
    <t>Check user able to click "save" and "cancel" option" from user name OSD.</t>
  </si>
  <si>
    <t>1.Enter URL in address bar JioSignage Sign In Page :https://digitalsignage.jio.com/users/sign in .
2.Now enter valid credentials and click on get OTP .
3.Enter OTP and click on submit OTP .
4.click on profile icon top right 1st option&gt;click on edit option in username&gt;edit name&gt;click on save and cancel option and observe the behavior.</t>
  </si>
  <si>
    <t>test_verifySaveCancelOptionOnChangeName</t>
  </si>
  <si>
    <t>TC49</t>
  </si>
  <si>
    <t>Check user able to click "save" and "cancel" option" from new phone number OSD.</t>
  </si>
  <si>
    <t>1.Enter URL in address bar JioSignage Sign In Page :https://digitalsignage.jio.com/users/sign in .
2.Now enter valid credentials and click on get OTP .
3.Enter OTP and click on submit OTP .
4.click on profile icon top right 1st option&gt;click on edit option in phone number&gt;edit  phone number&gt;click on save and cancel option and observe the behavior.</t>
  </si>
  <si>
    <t>test_verifySaveCancelOptionOnChangePhone</t>
  </si>
  <si>
    <t>TC50</t>
  </si>
  <si>
    <t>Verify user able to close the new phone number osd by clicking "X"</t>
  </si>
  <si>
    <t>1.Enter URL in address bar JioSignage Sign In Page :https://digitalsignage.jio.com/users/sign in .
2.Now enter valid credentials and click on get OTP .
3.Enter OTP and click on submit OTP .
4.click on profile icon top right 1st option&gt;click on edit option in phone number&gt;edit  phone number&gt;click on "X" option and observe.</t>
  </si>
  <si>
    <t>test_verifyCrossOnEditPhoneNum</t>
  </si>
  <si>
    <t>TC51</t>
  </si>
  <si>
    <t>1.Enter URL in address bar JioSignage Sign In Page :https://digitalsignage.jio.com/users/sign in .
2.Now enter valid credentials and click on get OTP .
3.Enter OTP and click on submit OTP .
4.click on profile icon top right 1st option&gt;click on edit OTP ion in password field&gt;enter password on new password field&gt;In New password confirm field enter another password which is different for new password field&gt;click on save option and observe the behavior.</t>
  </si>
  <si>
    <t>test_verifyUpdateMismatchPas</t>
  </si>
  <si>
    <t>TC52</t>
  </si>
  <si>
    <t>1.Enter URL in address bar JioSignage Sign In Page :https://digitalsignage.jio.com/users/sign in .
2.Now enter valid credentials and click on get OTP .
3.Enter OTP and click on submit OTP .
4.click on profile icon top right 1st option&gt;click on edit option in  password&gt;edit  password&gt;click on "X" option and observe.</t>
  </si>
  <si>
    <t>test_verifyCrossOnEditPassword</t>
  </si>
  <si>
    <t>TC53</t>
  </si>
  <si>
    <t>1.Enter URL in address bar JioSignage Sign In Page :https://digitalsignage.jio.com/users/sign in .
2.Now enter valid credentials and click on get OTP .
3.Enter OTP and click on submit OTP .
4.click on profile icon top right 1st option&gt;click on view service plan and observe the behavior.</t>
  </si>
  <si>
    <t>test_verifyServicePlan</t>
  </si>
  <si>
    <t>TC54</t>
  </si>
  <si>
    <t>Verify user able to select the help OTP ion from profile icon.</t>
  </si>
  <si>
    <t>1.Enter URL in address bar JioSignage Sign In Page :https://digitalsignage.jio.com/users/sign in .
2.Now enter valid credentials and click on get OTP .
3.Enter OTP and click on submit OTP .
4.click on profile icon top right 1st OTP ion&gt;click on help OTP ion and observe the behaviour.</t>
  </si>
  <si>
    <t>test_JioHelpOnProfile</t>
  </si>
  <si>
    <t>TC55</t>
  </si>
  <si>
    <t>1.Enter URL in address bar JioSignage Sign In Page :https://digitalsignage.jio.com/users/sign in .
2.Now enter valid credentials and click on get OTP .
3.Enter OTP and click on submit OTP .
4.click on profile icon top right 1st option&gt;click on logout &gt;click on option and observe the behavior.</t>
  </si>
  <si>
    <t>test_logout</t>
  </si>
  <si>
    <t>TC56</t>
  </si>
  <si>
    <t>Click on FAQ and observe the behavior.</t>
  </si>
  <si>
    <t>1.Enter URL in address bar JioSignage Sign In Page :https://digitalsignage.jio.com/users/sign in .
2.Now enter valid credentials and click on get OTP .
3.Enter OTP and click on submit OTP .
4.Now scroll down select FAQ option which is available in down side right  fourth option and observe the behavior.</t>
  </si>
  <si>
    <t>It should redirect to frequently asked question page with options listed below.
Search bar.
JioSignage
 Display
 Trouble Shooting
 Content
 Proof of Play.</t>
  </si>
  <si>
    <t>test_verifyFAQ</t>
  </si>
  <si>
    <t>TC57</t>
  </si>
  <si>
    <t>Click on help and observe the behavior.</t>
  </si>
  <si>
    <t>1.Enter URL in address bar JioSignage Sign In Page :https://digitalsignage.jio.com/users/sign in .
2.Now enter valid credentials and click on get OTP .
3.Enter OTP and click on submit OTP .
4.Now scroll down select Help option which is available in down side right third  option and observe the behavior.</t>
  </si>
  <si>
    <t>Jio Support page should appears in display</t>
  </si>
  <si>
    <t>test_JioHelp</t>
  </si>
  <si>
    <t>TC58</t>
  </si>
  <si>
    <t>Click on privacy policy and observe the behavior.</t>
  </si>
  <si>
    <t>1.Enter URL in address bar JioSignage Sign In Page :https://digitalsignage.jio.com/users/sign in .
2.Now enter valid credentials and click on get OTP .
3.Enter OTP and click on submit OTP .
4.Now scroll down select Privacy policy option which is available in down side right second option and observe the behavior.</t>
  </si>
  <si>
    <t>Platform privacy policy page should appears in display.</t>
  </si>
  <si>
    <t>test_verifyPrivacyPolicy</t>
  </si>
  <si>
    <t>TC59</t>
  </si>
  <si>
    <t>Click on Terms and condition option and observe the behavior.</t>
  </si>
  <si>
    <t>1.Enter URL in address bar JioSignage Sign In Page :https://digitalsignage.jio.com/users/sign in .
2.Now enter valid credentials and click on get OTP .
3.Enter OTP and click on submit OTP .
4.Now scroll down select Privacy policy option which is available in down side right first option and observe the behavior.</t>
  </si>
  <si>
    <t>Terms and condition page should appears in display.</t>
  </si>
  <si>
    <t>test_verifyTermsAndConditions</t>
  </si>
  <si>
    <t>TC60</t>
  </si>
  <si>
    <t>Location wise display</t>
  </si>
  <si>
    <t>Check user able to see the Location wise display details box in dashboard page.</t>
  </si>
  <si>
    <t>1.Enter URL in address bar JioSignage Sign In Page :https://digitalsignage.jio.com/users/sign in .
2.Now enter valid credentials and click on get OTP .
3.Enter OTP and click on submit OTP .
4.Now observe the Location wise display box feature box.</t>
  </si>
  <si>
    <t>User should able to see the display status box in 7th row in dashboard page.</t>
  </si>
  <si>
    <t>TC61</t>
  </si>
  <si>
    <t>Verify user able to zoom in and zoom out using + and - symbols which is available in left side top on location wise display section.</t>
  </si>
  <si>
    <t xml:space="preserve">1.Enter URL in address bar JioSignage Sign In Page :https://digitalsignage.jio.com/users/sign in .
2.Now enter valid credentials and click on get OTP .
3.Enter OTP and click on submit OTP .
4.Now observe the Location wise display box feature box.
5.Now click on + and - icon and </t>
  </si>
  <si>
    <t>Zoom in (+) and zoon out(-) functional should work as per RIL requirement.</t>
  </si>
  <si>
    <t>TC62</t>
  </si>
  <si>
    <t>Verify user able to zoom in and zoom out using two finger pinch in /out on map.</t>
  </si>
  <si>
    <t>1.Enter URL in address bar JioSignage Sign In Page :https://digitalsignage.jio.com/users/sign in .
2.Now enter valid credentials and click on get OTP .
3.Enter OTP and click on submit OTP .
4.Now observe the Location wise display box feature box &gt; observe the map.
5.check two finger zoom in/out using trackpad.</t>
  </si>
  <si>
    <t>User should able to zoom in/out using to finger pinch on/out by trackpad of laptop.</t>
  </si>
  <si>
    <t>TC63</t>
  </si>
  <si>
    <t>Verify user able to see the city wise display locations on map.</t>
  </si>
  <si>
    <t>1.Enter URL in address bar JioSignage Sign In Page :https://digitalsignage.jio.com/users/sign in .
2.Now enter valid credentials and click on get OTP .
3.Enter OTP and click on submit OTP .
4.Now observe the Location wise display box feature box.
5.Now click on + and - icon and 
6.Now observe the location tags in map.</t>
  </si>
  <si>
    <t xml:space="preserve">User able to see the display location in location wise display section. </t>
  </si>
  <si>
    <t>TC64</t>
  </si>
  <si>
    <t>Verify user able to see the created locations display is reflecting location wise display.</t>
  </si>
  <si>
    <t>1.Enter URL in address bar JioSignage Sign In Page :https://digitalsignage.jio.com/users/sign in .
2.Now enter valid credentials and click on get OTP .
3.Enter OTP and click on submit OTP .
4.Now observe the Location wise display box feature box.
5.Now click on content&gt;displays&gt;click on + icon (add new display)&gt;Now add details in respective sections and click add .
6.Login into the display at client side with same credentials and make the client display Online.
7.Now go to Dashboard and observe the location as updated in location wise display section.</t>
  </si>
  <si>
    <t>Newly added location details should reflect and location indication should show in location wise display.</t>
  </si>
  <si>
    <t>TC65</t>
  </si>
  <si>
    <t>Verify user able to see the display status in location wise display page.</t>
  </si>
  <si>
    <t>1.Enter URL in address bar JioSignage Sign In Page :https://digitalsignage.jio.com/users/sign in .
2.Now enter valid credentials and click on get OTP .
3.Enter OTP and click on submit OTP .
4.Now observe the Location wise display box feature box.
5.Now Place the mouse on location indication and observe.</t>
  </si>
  <si>
    <t>Correct Display details should display when we place mouse pointer lo location indication.</t>
  </si>
  <si>
    <t>TC66</t>
  </si>
  <si>
    <t>Cable Status</t>
  </si>
  <si>
    <t>Verify cable status showing correct cable status</t>
  </si>
  <si>
    <t>1.Enter URL in address bar JioSignage Sign In Page :https://digitalsignage.jio.com/users/sign in .
2.Now enter valid credentials and click on get OTP .
3.Enter OTP and click on submit OTP .
4.Now observe the cable status  box feature box.
5.Now observe the cable status.</t>
  </si>
  <si>
    <t>Cable status should show correct disconnected cable status , as per Delivery Management page</t>
  </si>
  <si>
    <t>test_Displaydisconnected_dashboard</t>
  </si>
  <si>
    <t>TC67</t>
  </si>
  <si>
    <t>Tag wise display</t>
  </si>
  <si>
    <t>Verify Tag wise display details are correct</t>
  </si>
  <si>
    <t>1.Enter URL in address bar JioSignage Sign In Page :https://digitalsignage.jio.com/users/sign in .
2.Now enter valid credentials and click on get OTP .
3.Enter OTP and click on submit OTP .
4.Now observe the tag wise display feature box.
5.click on any chat bar from the tag wise box and observe display details&gt;now navigate to display and observe.</t>
  </si>
  <si>
    <t xml:space="preserve"> Tag wise display details should match with actual details in the display page.</t>
  </si>
  <si>
    <t>test_verifytagwisecount</t>
  </si>
  <si>
    <t>TC69</t>
  </si>
  <si>
    <t>Verify user able to see the Online display details , when filter ONLINE in location wise display page.</t>
  </si>
  <si>
    <t>1.Enter URL in address bar JioSignage Sign In Page :https://digitalsignage.jio.com/users/sign in .
2.Now enter valid credentials and click on get OTP .
3.Enter OTP and click on submit OTP .
4.Now observe the Location wise display box feature box.
5. click on all drop down and select online and observe.</t>
  </si>
  <si>
    <t>User should see the correct online display details when we apply filter to online only"</t>
  </si>
  <si>
    <t>TC70</t>
  </si>
  <si>
    <t>Verify user able to see the Offline display details , when filter OFFLINE  in location wise display page.</t>
  </si>
  <si>
    <t>1.Enter URL in address bar JioSignage Sign In Page :https://digitalsignage.jio.com/users/sign in .
2.Now enter valid credentials and click on get OTP .
3.Enter OTP and click on submit OTP .
4.Now observe the Location wise display box feature box.
5. click on all drop down and select offline and observe.</t>
  </si>
  <si>
    <t>User should see the correct offline display details when we apply filter to offline only"</t>
  </si>
  <si>
    <t>TC71</t>
  </si>
  <si>
    <t>Verify user able to see the Cable disconnected details , when filter "CABLE DISCONNECTED"  in location wise display page.</t>
  </si>
  <si>
    <t>1.Enter URL in address bar JioSignage Sign In Page :https://digitalsignage.jio.com/users/sign in .
2.Now enter valid credentials and click on get OTP .
3.Enter OTP and click on submit OTP .
4.Now observe the Location wise display box feature box.
5. click on all drop down and select cable disconnect and observe.</t>
  </si>
  <si>
    <t>User should see the correct  display details when we apply filter to cable disconnected.</t>
  </si>
  <si>
    <t>TC72</t>
  </si>
  <si>
    <t xml:space="preserve">Available List of information cards </t>
  </si>
  <si>
    <t xml:space="preserve">Verify different card available in the Dashboard page </t>
  </si>
  <si>
    <t>1.Enter URL in address bar JioSignage Sign In Page :https://digitalsignage.jio.com/users/sign in .
2.Now enter valid credentials and click on get OTP .
3.Enter OTP  and click on submit OTP.
4.Go to Dashboard page .
5. Verify that Dashboard page has following information cards.
1. Display License.
2. Storage status.
3.Display Status.
4. Cable Status
5. Media Uploaded.
6. Layout
7. Playlist
8.Schedule
9.Display Offline Since.
10. Tag wise display
11 State wise display
12. City wise display.
13 Location wise display</t>
  </si>
  <si>
    <t>User should able to see all these information cards on Dashboard page</t>
  </si>
  <si>
    <t>test_informationCards</t>
  </si>
  <si>
    <t>Media</t>
  </si>
  <si>
    <t>Landing Page</t>
  </si>
  <si>
    <t>Verify Media table should be empty when no Media are uploaded</t>
  </si>
  <si>
    <t>1. Launch JioSignage  Sign In Page : https://digitalsignage.jio.com/users/sign_in . 
2. Login with valid credentials.
3.Click content management &gt; Media
4. Observe the Table</t>
  </si>
  <si>
    <t>1. Table should be empty
2. No data available in the table text should be written
3. Showing 0 to 0 of 0 entries text should be written at the bottom of the table</t>
  </si>
  <si>
    <t>test_materialPage_noDataUploaded</t>
  </si>
  <si>
    <t>Add New Material</t>
  </si>
  <si>
    <t>Verify add new Media functionality</t>
  </si>
  <si>
    <t>1. Launch JioSignage  Sign In Page : https://digitalsignage.jio.com/users/sign_in . 
2. Login with valid credentials.
3.Click content management &gt; media
4.Click Add new media (+) button that present on right side.
5. Observe</t>
  </si>
  <si>
    <t>1. Upload Media OSD should open
2. Verify supported file formats , Max size, max file limits and close button are present</t>
  </si>
  <si>
    <t>test_addNewMaterial_OSD</t>
  </si>
  <si>
    <t>Browse</t>
  </si>
  <si>
    <t>Verify browse functionality</t>
  </si>
  <si>
    <t>1.Launch JioSignage  Sign In Page : https://digitalsignage.jio.com/users/sign_in . 
2.Login with valid credentials.
3.Click content management &gt; media
4. Click Add new media (+) button that present on right side.
5.On Upload Media OSD click on browse
6.Select a file -&gt; Click on Open
7.Observe</t>
  </si>
  <si>
    <t>1. User should be able to browse files from system
2. The Selected file should be observed after the file is selected</t>
  </si>
  <si>
    <t>test_addNewMaterial_clickOnBrowse</t>
  </si>
  <si>
    <t>Upload Functionality</t>
  </si>
  <si>
    <t>Verify user is able to Upload JPEG File Type as a media</t>
  </si>
  <si>
    <t>1. Launch JioSignage  Sign In Page : https://digitalsignage.jio.com/users/sign_in . 
2. Login with valid credentials.
3.Click content management &gt; media
4.Click Add new media (+) button that present on right side.
5. Click on "Drag and Drop files here or click to browse".
6. select the Jpeg file or perform drag and drop operation  .
7. Click on open.
8. Click on Upload</t>
  </si>
  <si>
    <t>1. Media uploaded successfully message should be observed. 
2.User should be able to upload JPEG  File Type as a material
3. The uploaded media should be observed in Material Table</t>
  </si>
  <si>
    <t>test_addNewMaterial_JPEG</t>
  </si>
  <si>
    <t>Verify user is  able to Upload PNG  File Type as a media</t>
  </si>
  <si>
    <t>1. Launch JioSignage  Sign In Page : https://digitalsignage.jio.com/users/sign_in .
2. Login with valid credential.
3.Click content management &gt; media
4.Click Add new media (+) button that present on right side.
5. Click on "Drag and Drop files here or click to browse".
6. select the file or perform drag and drop operation.
7. Click on open.
8. Click on Upload</t>
  </si>
  <si>
    <t>1. Material uploaded successfully notification should be observed
2.User should be able to upload PNG Image File Type as a material
3. The uploaded material should be observed in Material Table</t>
  </si>
  <si>
    <t>test_addNewMaterial_PNG</t>
  </si>
  <si>
    <t>Verify user is able to upload GIF  File Type as a media</t>
  </si>
  <si>
    <t>1. Launch JioSignage  Sign In Page : https://digitalsignage.jio.com/users/sign_in .
2. Login with valid credentials
3.Click content management &gt; media
4.Click Add new media (+) button that present on right side.
5. Click on "Drag and Drop files here or click to browse".
6. select the file or perform drag and drop operation.
7. Click on open.
8. Click on Upload</t>
  </si>
  <si>
    <t>1.  Media uploaded successfully notification should be observed
2.User should be able to upload GIF Image File Type as a material
3. The uploaded material should be observed in Material Table</t>
  </si>
  <si>
    <t>test_addNewMaterial_GIF</t>
  </si>
  <si>
    <t>Verify user is able to upload JFIF File  Type as a media</t>
  </si>
  <si>
    <t>1. Launch JioSignage  Sign In Page : https://digitalsignage.jio.com/users/sign_in .
2. Login with valid credentials
3.Click content &gt; material
4.Click Add new media (+) button that present on right side.
5. Click on "Drag and Drop files here or click to browse".
6. select the file or perform drag and drop operation.
7. Click on open.
8. Click on Upload</t>
  </si>
  <si>
    <t xml:space="preserve">1.  Media uploaded successfully notification should be observed
2.User should be able to upload JFIF Image File Type as a material
</t>
  </si>
  <si>
    <t>test_addNewMaterial_JFIF</t>
  </si>
  <si>
    <t>Verify user is able to upload MP4  File Type as a media</t>
  </si>
  <si>
    <t>1. Launch JioSignage  Sign In Page : https://digitalsignage.jio.com/users/sign_in .
2. Login with valid credentials.
3.Click content management &gt; media
4.Click + icon on to right side.
5. Click on "Drag and Drop files here or click to browse".
6. select the file or perform drag and drop operation.
7. Click on open.
8. Click on Upload</t>
  </si>
  <si>
    <t>1.  Media uploaded successfully notification should be observed
2.User should be able to upload MP4 File Type as a material
3. The uploaded material should be observed in Material Table</t>
  </si>
  <si>
    <t>test_addNewMaterial_MP4</t>
  </si>
  <si>
    <t>Verify user is able to upload MOV  File Type as a media</t>
  </si>
  <si>
    <t>1. Launch JioSignage  Sign In Page : https://digitalsignage.jio.com/users/sign_in .
2. Login with valid credentials.
3.Click content management &gt; media
4.Click Add new media (+) button that present on right side.
5. Click on "Drag and Drop files here or click to browse".
6. select the file or perform drag and drop operation.
7. Click on open.
8. Click on Upload</t>
  </si>
  <si>
    <t>1.  Media uploaded successfully notification should be observed
2.User should be able to upload MOV File Type as a material
3. The uploaded material should be observed in Material Table</t>
  </si>
  <si>
    <t>test_addNewMaterial_MOV</t>
  </si>
  <si>
    <t>Verify user is able to upload Webm  File Type as a media</t>
  </si>
  <si>
    <t>1. Launch JioSignage  Sign In Page : https://digitalsignage.jio.com/users/sign_in . 
2. Login with valid credentials
3.Click content management &gt; media
4.Click Add new media (+) button that present on right side.
5. Click on "Drag and Drop files here or click to browse".
6. select the file or perform drag and drop operation.
7. Click on open.
8. Click on Upload</t>
  </si>
  <si>
    <t>1.  Media uploaded successfully notification should be observed
2.User should be able to upload Webm File Type as a media
3. The uploaded material should be observed in Media Table</t>
  </si>
  <si>
    <t>test_addNewMaterial_Webm</t>
  </si>
  <si>
    <t>Verify user is able to upload MP3  File Type as a media</t>
  </si>
  <si>
    <t>1.  Media uploaded successfully notification should be observed
2.User should be able to upload MP3 File Type as a media
3. The uploaded media should be observed in Media Table</t>
  </si>
  <si>
    <t>test_addNewMaterial_MP3</t>
  </si>
  <si>
    <t>Verify user is able to upload Ogg Vorbis  File Type as a media</t>
  </si>
  <si>
    <t>1. Launch JioSignage  Sign In Page : https://digitalsignage.jio.com/users/sign_in .
2. Login with valid credential
3.Click content management &gt; media
4.Click Add new media (+) button that present on right side.
5. Click on "Drag and Drop files here or click to browse".
6. select the file or perform drag and drop operation.
7. Click on open.
8. Click on Upload</t>
  </si>
  <si>
    <t>1.  Media uploaded successfully notification should be observed
2.User should be able to upload Ogg Vorbis File Type as a media
3. The uploaded media should be observed in Media Table</t>
  </si>
  <si>
    <t>test_addNewMaterial_OGG</t>
  </si>
  <si>
    <t>Verify user is able to upload WAV  File Type as a media</t>
  </si>
  <si>
    <t>1. Launch JioSignage  Sign In Page : https://digitalsignage.jio.com/users/sign_in .
2. Login with valid credential.
3.Click content management &gt; media
4.Click + icon on to right side.
5. Click on "Drag and Drop files here or click to browse".
6. select the file or perform drag and drop operation.
7. Click on open.
8. Click on Upload</t>
  </si>
  <si>
    <t>1.  Media uploaded successfully notification should be observed
2.User should be able to upload WAV File Type as a media
3. The uploaded material should be observed in Media Table</t>
  </si>
  <si>
    <t>test_addNewMaterial_WAV</t>
  </si>
  <si>
    <t>Verify user is able to upload PDF File Type as a media</t>
  </si>
  <si>
    <t>1. Launch JioSignage  Sign In Page : https://digitalsignage.jio.com/users/sign_in .
2. Login with valid credential
3.Click content management&gt; media
4.Click Add new media (+) button that present on right side.
5. Click on "Drag and Drop files here or click to browse".
6. select the file or perform drag and drop operation.
7. Click on open.
8. Click on Upload</t>
  </si>
  <si>
    <t>1.  Media uploaded successfully notification should be observed
2.User should be able to upload PDF File Type as a media
3. The uploaded material should be observed in Media Table</t>
  </si>
  <si>
    <t>test_addNewMaterial_PDF</t>
  </si>
  <si>
    <t>Verify user is able to upload PPT File Type as a media</t>
  </si>
  <si>
    <t>1.  Media uploaded successfully notification should be observed
2.User should be able to upload PPT File Type as a media
3. The uploaded material should be observed in Media Table</t>
  </si>
  <si>
    <t>test_addNewMaterial_PPT</t>
  </si>
  <si>
    <t>Verify user is able to upload PPTX File Type as a media</t>
  </si>
  <si>
    <t>1.  Media uploaded successfully message should be observed
2.User should be able to upload PPTX File Type as a media
3. The uploaded material should be observed in Media Table</t>
  </si>
  <si>
    <t>test_addNewMaterial_PPTX</t>
  </si>
  <si>
    <t>Verify user is able to upload DOCX File Type as a media</t>
  </si>
  <si>
    <t>1.  Media uploaded successfully message should be observed
2.User should be able to upload DOCX File Type as a media
3. The uploaded material should be observed in Media Table</t>
  </si>
  <si>
    <t>test_addNewMaterial_DOCX</t>
  </si>
  <si>
    <t>Verify close button functionality in Upload Media Page</t>
  </si>
  <si>
    <t>1. Launch JioSignage  Sign In Page : https://digitalsignage.jio.com/users/sign_in .
2. Login with valid credentials.
3.Click content management &gt; media
4.Click Add new media (+) button that present on right side.
5. Click on Close Icon in Upload Media OSD
6. Observe</t>
  </si>
  <si>
    <t>Upload Media OSD should get closed</t>
  </si>
  <si>
    <t>test_addNewMaterial_OSD_X_BTN</t>
  </si>
  <si>
    <t>Verify supported file format details are available on upload Media Page</t>
  </si>
  <si>
    <t>1. Launch JioSignage  Sign In Page : https://digitalsignage.jio.com/users/sign_in .
2. Login with valid credentials.
3.Click content management &gt; media
4.Click Add new media (+) button that present on right side.
5. Observe Upload Media OSD</t>
  </si>
  <si>
    <t>User should be able to view supported file formats</t>
  </si>
  <si>
    <t>test_addNewMaterial_SUPPORTED_FILES_text</t>
  </si>
  <si>
    <t>Verify that user is able to upload 99 multiple files at single time.</t>
  </si>
  <si>
    <t>1. Launch JioSignage  Sign In Page : https://digitalsignage.jio.com/users/sign_in .
2. Login with valid credentials.
3.Click content management&gt; media
4.Click Add new media (+) button that present on right side.
5. Click on "Drag and Drop files here or click to browse".
6. select 99 files or perform drag and drop operation.
7. Click on open.
8. Observe</t>
  </si>
  <si>
    <t>1. User should be able to upload 99 Media successfully
2. Media uploaded successfully notification should be displayed after uploading the material
3. Uploaded Media should be observed in Materials Table</t>
  </si>
  <si>
    <t>test_addNewMaterial_99Files</t>
  </si>
  <si>
    <t>Verify that user is able to upload 100 files</t>
  </si>
  <si>
    <t>1. Launch JioSignage  Sign In Page : https://digitalsignage.jio.com/users/sign_in .
2. Login with valid credentials.
3.Click content management &gt; media
4.Click Add new media (+) button that present on right side.
5. Click on "Drag and Drop files here or click to browse".
6. select  100 files or perform drag and drop operation.
7. Click on open.
8. Observe</t>
  </si>
  <si>
    <t>1. User should be able to upload 100 Media successfully
2. Media uploaded successfully message should be displayed after uploading the material
3. Uploaded Media should be observed in Media Table</t>
  </si>
  <si>
    <t>test_addNewMaterial_100Files</t>
  </si>
  <si>
    <t>Verify that user is not able to upload more than 100 files at a single time</t>
  </si>
  <si>
    <t>1. Launch JioSignage  Sign In Page : https://digitalsignage.jio.com/users/sign_in .
2. Login with valid credentials.
3.Click content management &gt; media
4.Click Add new media (+) button that present on right side.
5. Click on "Drag and Drop files here or click to browse".
6. select  101 files or perform drag and drop operation.
7. Click on open.
8. Observe</t>
  </si>
  <si>
    <t>1. User should not be able to upload more than 100 media
2. Maximum 100 files are allowed at a time message should be displayed 
3. User should be able to upload 100 materials that are selected</t>
  </si>
  <si>
    <t>test_addNewMaterial_101Files</t>
  </si>
  <si>
    <t>Verify that user can remove the selected file in Upload Media Page</t>
  </si>
  <si>
    <t>1. Launch JioSignage  Sign In Page : https://digitalsignage.jio.com/users/sign_in .
2. Login with valid credentials.
3.Click content &gt; material
4.Click Add new media (+) button that present on right side.
5. Click on "Drag and Drop files here or click to browse".
6. select a file or perform drag and drop operation.
7. Click on open.
8. Select a particular image and click on X icon.
9. Observe</t>
  </si>
  <si>
    <t xml:space="preserve">1.User should be able to remove the selected file
2. The selected file should be removed from Upload Materials OSD </t>
  </si>
  <si>
    <t>test_addNewMaterial_deselectFile</t>
  </si>
  <si>
    <t>Verify that user can view the details of selected file in Upload Media Page</t>
  </si>
  <si>
    <t>1. Launch JioSignage  Sign In Page : https://digitalsignage.jio.com/users/sign_in .
2. Login with valid credentials.
3.Click content management &gt; media
4.Click Add new media (+) button that present on right side.
5. Click on "Drag and Drop files here or click to browse".
6. select a file or perform drag and drop operation.
7. Click on open.
8. Select a particular image and click on I icon.</t>
  </si>
  <si>
    <t>User should be able to see the details of the selected file</t>
  </si>
  <si>
    <t>test_addNewMaterial_detailsOfSelectedFile</t>
  </si>
  <si>
    <t>Verify that a Media that is selected to upload is valid</t>
  </si>
  <si>
    <t>1. Launch JioSignage  Sign In Page : https://digitalsignage.jio.com/users/sign_in .
2. Login with valid credentials.
3.Click content &gt; material
4.Click Add new media (+) button that present on right side.
5. Click on "Drag and Drop files here or click to browse".
6. select a file or perform drag and drop operation.
7. Click on open.
8. Observe</t>
  </si>
  <si>
    <t>Valid Image logo should be displayed on the image</t>
  </si>
  <si>
    <t>test_addNewMaterial_isValid</t>
  </si>
  <si>
    <t>Verify that user can remove all the selected medias in Upload Media On screen Display</t>
  </si>
  <si>
    <t>1. Launch JioSignage  Sign In Page : https://digitalsignage.jio.com/users/sign_in .
2. Login with valid credentials.
3.Click content management &gt; media
4.Click + icon on to right side.
5. Click on "Drag and Drop files here or click to browse".
6. select a file or perform drag and drop operation.
8. Click on X icon present on the right hand side of Max file Size text
9. Observe</t>
  </si>
  <si>
    <t>All the selected materials should be removed from Upload Media OSD</t>
  </si>
  <si>
    <t>test_addNewMaterial_deselectFile_moreThanOneFile</t>
  </si>
  <si>
    <t>Verify progress bar while uploading a material</t>
  </si>
  <si>
    <t>1. Launch JioSignage  Sign In Page : https://digitalsignage.jio.com/users/sign_in .
2. Login with valid credentials.
3.Click content &gt; material
4.Click Add new media (+) button that present on right side.
5. Click on "Drag and Drop files here or click to browse".
6. select a file  or perform drag and drop operation.
7. Click on open.
8. Click on Upload
9. Observe</t>
  </si>
  <si>
    <t>1. Progress bar should be displayed while uploading a file
2. After uploading the material, Material uploaded successfully message should be displayed
3. Uploaded Materials should be observed in Materials Table</t>
  </si>
  <si>
    <t>test_addNewMaterial_isVisibleProgressBar</t>
  </si>
  <si>
    <t>Move to trash</t>
  </si>
  <si>
    <t>Verify Move to trash functionality</t>
  </si>
  <si>
    <t>1. Launch JioSignage  Sign In Page : https://digitalsignage.jio.com/users/sign_in .
2. Login with valid credentials
3.Click content management &gt; media
4. Select one or more than one file
5. Click on Actions ( 3 dots).
6. Click on Move to trash
7. Observe</t>
  </si>
  <si>
    <t>Trash OSD should appear</t>
  </si>
  <si>
    <t>test_addNewMaterial_MoveToTrashOSD</t>
  </si>
  <si>
    <t>Verify OK functionality in Move to trash pop-up</t>
  </si>
  <si>
    <t>1. Launch JioSignage  Sign In Page : https://digitalsignage.jio.com/users/sign_in .
2. Login with valid credentials
3.Click content management &gt; media
4. Select a particular file type
5. Click on Actions ( 3 dots).
6. Click on Move to trash
7. Click on OK
8. Click on Observe</t>
  </si>
  <si>
    <t>1. Media moved to trash message should be displayed
2. Media should move to trash
3. Selected media should not appear in root folder</t>
  </si>
  <si>
    <t>test_addNewMaterial_MoveToTrash_Functionality</t>
  </si>
  <si>
    <t>Verify Cancel functionality in Move to trash pop-up</t>
  </si>
  <si>
    <t>1. Launch JioSignage  Sign In Page : https://digitalsignage.jio.com/users/sign_in .
2. Login with valid credentials
3.Click content management &gt; media
4. Select a particular file
5. Click on Actions ( 3 dots).
6. Click on Move to trash
7. Click on Cancel</t>
  </si>
  <si>
    <t>Trash OSD should close</t>
  </si>
  <si>
    <t>test_addNewMaterial_MoveToTrashOSD_CancelBtn</t>
  </si>
  <si>
    <t>Verify Close button (X) functionality in move to trash pop up</t>
  </si>
  <si>
    <t>1. Launch JioSignage  Sign In Page : https://digitalsignage.jio.com/users/sign_in .
2. Login with valid credentials
3.Click content management &gt; media
4. Select a particular file type
5. Click on Actions ( 3 dots).
6. Click on Move to trash
7. Click on X</t>
  </si>
  <si>
    <t>test_addNewMaterial_MoveToTrashOSD_X_Btn</t>
  </si>
  <si>
    <t>Verify Move Media Functionality</t>
  </si>
  <si>
    <t>1. Launch JioSignage  Sign In Page : https://digitalsignage.jio.com/users/sign_in .
2. Login with valid credentials
3.Click content management &gt; media
4. Select a particular file type
5. Click on Actions ( 3 dots).
6. Click on Move Media
7. Observe</t>
  </si>
  <si>
    <t>Move Media OSD should appear</t>
  </si>
  <si>
    <t>test_MoveMaterial_OSD</t>
  </si>
  <si>
    <t>Verify close button functionality in Move Media OSD</t>
  </si>
  <si>
    <t xml:space="preserve">1. Launch JioSignage  Sign In Page : https://digitalsignage.jio.com/users/sign_in .
2. Login with valid credentials
3.Click content management &gt; media
4. Select a particular file type
5. Click on Actions ( 3 dots).
6. Click on Move Media
7. Select a folder from drop down
8. Click on Close
</t>
  </si>
  <si>
    <t>Move Media OSD should close</t>
  </si>
  <si>
    <t>test_MoveMaterial_OSD_X_Btn</t>
  </si>
  <si>
    <t>Copy to shared</t>
  </si>
  <si>
    <t>Verify Copy to shared functionality</t>
  </si>
  <si>
    <t>1. Launch JioSignage  Sign In Page : https://digitalsignage.jio.com/users/sign_in .
2. Login with valid credentials.
3.Click content management &gt; media
4. Select a particular file type
5. Click on Actions ( 3 dots).
6. Click on Copy to shared</t>
  </si>
  <si>
    <t>Shared OSD should appear</t>
  </si>
  <si>
    <t>test_CopyToShared_OSD</t>
  </si>
  <si>
    <t>Verify Cancel button in shared pop up</t>
  </si>
  <si>
    <t>1. Launch JioSignage  Sign In Page : https://digitalsignage.jio.com/users/sign_in .
2. Login with valid credentials.
3.Click content &gt; media
4. Select a particular file type
5. Click on Actions ( 3 dots).
6. Click on Copy to shared
7. Click on Cancel</t>
  </si>
  <si>
    <t>Shared OSD should close on clicking on Cancel button</t>
  </si>
  <si>
    <t>test_CopyToShared_OSD_Cancel_Btn</t>
  </si>
  <si>
    <t>Verify Close button in shared pop up</t>
  </si>
  <si>
    <t>1. Launch JioSignage  Sign In Page : https://digitalsignage.jio.com/users/sign_in .
2. Login with valid credentials.
3.Click content &gt; media
4. Select a particular file type
5. Click on Actions ( 3 dots).
6. Click on Copy to shared
7. Click on Close button</t>
  </si>
  <si>
    <t>test_CopyToShared_OSD_X_Btn</t>
  </si>
  <si>
    <t>Search</t>
  </si>
  <si>
    <t>Verify that user is able to search a Material by name</t>
  </si>
  <si>
    <t>1. Launch JioSignage  Sign In Page : https://digitalsignage.jio.com/users/sign_in .
2. Login with valid credentials.
3.Click content &gt; media
4. Click on Search box
5. Type a name in Search box
6. Press Enter Key or click on Search Icon
7. Observe</t>
  </si>
  <si>
    <t>User should be able to search for a Material by file name</t>
  </si>
  <si>
    <t>test_Material_search_byName</t>
  </si>
  <si>
    <t>Verify Search icon Functionality</t>
  </si>
  <si>
    <t>1. Launch JioSignage  Sign In Page : https://digitalsignage.jio.com/users/sign_in .
2. Login with valid credentials.
3.Click content &gt; media
4. Click on Search box
5.Click Search icon 
5. Observe</t>
  </si>
  <si>
    <t>Verify that Name column is searchable</t>
  </si>
  <si>
    <t>test_Material_search_byName_filter</t>
  </si>
  <si>
    <t>Create New Folder</t>
  </si>
  <si>
    <t>Verify create New folder in  Materials &gt; Root page</t>
  </si>
  <si>
    <t>1. Launch JioSignage  Sign In Page : https://digitalsignage.jio.com/users/sign_in .
2. Login with valid credentials.
3.Click content management &gt; media
4. Click on New Folder Icon
5. Observe</t>
  </si>
  <si>
    <t>Create folder OSD should appear along with name field.</t>
  </si>
  <si>
    <t>test_Material_createNewFolder_OSD</t>
  </si>
  <si>
    <t>To verify enter all supported characters in name field of Create folder.[Supported Characters = Number , Letters , _]</t>
  </si>
  <si>
    <t>1. Launch JioSignage  Sign In Page : https://digitalsignage.jio.com/users/sign_in .
2. Login with valid credentials.
3.Click content management &gt; media
4. Click on New Folder Icon
5. Enter all characters
6. Click on add</t>
  </si>
  <si>
    <t>User should  be able to Enter all supported characters.</t>
  </si>
  <si>
    <t>test_Material_createNewFolder_enterAllCharacters</t>
  </si>
  <si>
    <t>To verify all special characters in Name filed of create folder</t>
  </si>
  <si>
    <t xml:space="preserve">1. Launch JioSignage  Sign In Page : https://digitalsignage.jio.com/users/sign_in .
2. Login with valid credentials.
3.Click content management&gt; media
4. Click on "Add Folder" Icon that present on right side 
5. Enter all  special characters
6. Click on add
</t>
  </si>
  <si>
    <t>User should get a warning message like "Only letters, numbers and _are allowed"</t>
  </si>
  <si>
    <t>test_Material_CreateFolder_WarnMsg_SpecialCharacter</t>
  </si>
  <si>
    <t>To verify ADD functionality in create folder.</t>
  </si>
  <si>
    <t xml:space="preserve">1. Launch JioSignage  Sign In Page : https://digitalsignage.jio.com/users/sign_in .
2. Login with valid credentials.
3.Click content management &gt; material
4. Click on "Add Folder" Icon
5. Enter name of the folder
6. Click on add
</t>
  </si>
  <si>
    <t>1.User should able to create the folder.
2. Created Folder should appear in Folder Dropdown</t>
  </si>
  <si>
    <t>test_Material_createNewFolder</t>
  </si>
  <si>
    <t>To verify cancel functionality in create folder.</t>
  </si>
  <si>
    <t xml:space="preserve">1. Launch JioSignage  Sign In Page : https://digitalsignage.jio.com/users/sign_in .
2. Login with valid credentials.
3.Click content management &gt; media
4. Click on "Add Folder" Icon
5. Enter name or do not enter name
6. Click on cancel
</t>
  </si>
  <si>
    <t>User should close the create folder OSD.</t>
  </si>
  <si>
    <t>test_Material_CreateFolder_OSD_CancelBtn</t>
  </si>
  <si>
    <t>To verify Close button (X) icon on create folder.</t>
  </si>
  <si>
    <t xml:space="preserve">1. Launch JioSignage  Sign In Page : https://digitalsignage.jio.com/users/sign_in .
2. Login with valid credentials.
3.Click content management&gt; media
4. Click on "Add Folder" Icon
5. Enter name
6. Click on Close button(X)
</t>
  </si>
  <si>
    <t>test_Material_CreateFolder_OSD_X_Btn</t>
  </si>
  <si>
    <t>Folder Functionality</t>
  </si>
  <si>
    <t>Verify Head folder functionality</t>
  </si>
  <si>
    <t>1. Launch JioSignage  Sign In Page : https://digitalsignage.jio.com/users/sign_in .
2. Login with valid credentials.
3.Click content management&gt; media
4. Click on Head Folder</t>
  </si>
  <si>
    <t>1. User should be able to see all the materials present in the root folder
2. User should be able to view all the details like Thumbnail, Name, Folder, Details , File Type , Uploaded At, Logs</t>
  </si>
  <si>
    <t>test_Material_HeadFolder</t>
  </si>
  <si>
    <t>Verify Shared folder functionality</t>
  </si>
  <si>
    <t>1. Launch JioSignage  Sign In Page : https://digitalsignage.jio.com/users/sign_in .
2. Login with valid credentials.
3.Click content management&gt; media
4. Click on Shared Folder</t>
  </si>
  <si>
    <t>1.User should be able to view all the materials that are present in Shared Folder
2. User should be able to view all the details like Thumbnail, Name, Folder, Details , File Type , Uploaded At, logs</t>
  </si>
  <si>
    <t>test_Material_SharedFolder</t>
  </si>
  <si>
    <t>Verify that user is able to view files present in Trash Folder</t>
  </si>
  <si>
    <t>1. Launch JioSignage  Sign In Page : https://digitalsignage.jio.com/users/sign_in .
2. Login with valid credentials.
3.Click content management&gt; media
4. Click on Trashed
5. Observe</t>
  </si>
  <si>
    <t xml:space="preserve">User should be able to view the details of the deleted files.
</t>
  </si>
  <si>
    <t>test_Material_TrashedFolder</t>
  </si>
  <si>
    <t>Filter Functionality</t>
  </si>
  <si>
    <t>Verify that user is able to filter Media based on type</t>
  </si>
  <si>
    <t>1. Launch JioSignage  Sign In Page : https://digitalsignage.jio.com/users/sign_in .
2. Login with valid credentials.
3.Click content management&gt; media
4. Select Images/ Videos/ Audios / Documents from Type Dropdown
5. Observe</t>
  </si>
  <si>
    <t>User should be able to filter materials based on the following types :-
1. Images
2. Videos
3. Audios
4. Documents</t>
  </si>
  <si>
    <t>test_Material_filter_image_video_audio_doc</t>
  </si>
  <si>
    <t>Verify that user is able to select folders from Folder Dropdown</t>
  </si>
  <si>
    <t>1. Launch JioSignage  Sign In Page : https://digitalsignage.jio.com/users/sign_in .
2. Login with valid credentials.
3.Click content management &gt; media
4. Select  folder name from Folder Dropdown
5. Observe</t>
  </si>
  <si>
    <t>User should be able to select Folders from Folder dropdown</t>
  </si>
  <si>
    <t>test_Material_selectFolderFromDropdown</t>
  </si>
  <si>
    <t>Preview</t>
  </si>
  <si>
    <t>Verify that user can preview the Medias</t>
  </si>
  <si>
    <t>1. Launch JioSignage  Sign In Page : https://digitalsignage.jio.com/users/sign_in .
2. Login with valid credentials.
3.Click content management &gt; media
4. Click on the  name of the Media
5. Observe</t>
  </si>
  <si>
    <t>User should be able to preview the Media</t>
  </si>
  <si>
    <t>test_Material_preview</t>
  </si>
  <si>
    <t>Rename</t>
  </si>
  <si>
    <t>Verify that user can rename the Material by clicking on Material Name</t>
  </si>
  <si>
    <t xml:space="preserve">1. Launch JioSignage  Sign In Page : https://digitalsignage.jio.com/users/sign_in .
2. Login with valid credentials.
3.Click content management &gt; media
4. Click on the name of the Media
5. Edit the name
6. Click on Save
</t>
  </si>
  <si>
    <t>1. User should be able to change the name of the material
2. If there is a Material with existing name then Name already exists message should be displayed
3. After rename "Media name changed" message should come</t>
  </si>
  <si>
    <t>test_editMaterialName</t>
  </si>
  <si>
    <t>Verify that user is able to close the preview page</t>
  </si>
  <si>
    <t>1. Launch JioSignage  Sign In Page : https://digitalsignage.jio.com/users/sign_in .
2. Login with valid credentials.
3.Click content management&gt; media
4. Click on the name of the Media
5. On the preview page press Esc Key or click close icon (X)</t>
  </si>
  <si>
    <t>User should be able to close the preview page</t>
  </si>
  <si>
    <t>test_Material_preview_X_Btn</t>
  </si>
  <si>
    <t>Thumbnail</t>
  </si>
  <si>
    <t>Verify that user can view the thumbnail</t>
  </si>
  <si>
    <t>1. Launch JioSignage  Sign In Page : https://digitalsignage.jio.com/users/sign_in .
2. Login with valid credentials.
3.Click content management&gt; media
4. Click on the thumbnail of the selected file</t>
  </si>
  <si>
    <t>User should be able to see the thumbnail</t>
  </si>
  <si>
    <t>test_Material_thumbnail</t>
  </si>
  <si>
    <t>Navigate Folder</t>
  </si>
  <si>
    <t>Verify that user is able to Navigate to a particular folder</t>
  </si>
  <si>
    <t>1. Launch JioSignage  Sign In Page : https://digitalsignage.jio.com/users/sign_in .
2. Login with valid credentials.
3.Click content management&gt; media
4. Select a folder from Folder drop down available from top right corner
5. Click on the folder
6. Observe</t>
  </si>
  <si>
    <t>1.User should be able to navigate to a particular folder that is selected
2. All the details of the materials created for that particular folder should be available</t>
  </si>
  <si>
    <t>test_Material_navigateToParticularFolder</t>
  </si>
  <si>
    <t>Edit Folder</t>
  </si>
  <si>
    <t>Verify that user can edit a particular folder</t>
  </si>
  <si>
    <t>1. Launch JioSignage  Sign In Page : https://digitalsignage.jio.com/users/sign_in .
2. Login with valid credentials.
3.Click content management&gt; media
4. Select a folder from Folder drop down available from top right corner
5. Click on the folder
6. Click on the edit icon
7. Change Name
8. Click on Save 
9. Observe</t>
  </si>
  <si>
    <t xml:space="preserve">1. User should be able to edit the folder
2. Folder renamed in Media message should come
</t>
  </si>
  <si>
    <t>test_Material_editFolderName</t>
  </si>
  <si>
    <t>Close button</t>
  </si>
  <si>
    <t>Verify that user can close edit folder pop up</t>
  </si>
  <si>
    <t xml:space="preserve">1. Launch JioSignage  Sign In Page : https://digitalsignage.jio.com/users/sign_in .
2. Login with valid credentials.
3.Click content management&gt; media
4. Select a folder from Folder drop down available from top right corner
5. Click on the folder
6. Click on the edit icon 
7. Click on Cancel  button / close button
8. Observe </t>
  </si>
  <si>
    <t>User should be able to close the edit pop up</t>
  </si>
  <si>
    <t>test_Material_editFolderName_Cancel_Btn</t>
  </si>
  <si>
    <t>Verify that user is able to close the Delete pop up</t>
  </si>
  <si>
    <t>1. Launch JioSignage  Sign In Page : https://digitalsignage.jio.com/users/sign_in .
2. Login with valid credentials.
3.Click content management&gt; media
4. Select a folder from Folder drop down available from top right corner
5. Click on the folder name
6. Click on the delete icon
7. Press Esc Key / Cancel button /  Click on Close button(X)</t>
  </si>
  <si>
    <t>User should be able close trash OSD</t>
  </si>
  <si>
    <t>test_Material_FolderMoveToTrash_Close_Btn</t>
  </si>
  <si>
    <t>Search Folder</t>
  </si>
  <si>
    <t>Verify that user is able to search folder from folder drop down</t>
  </si>
  <si>
    <t>1. Launch JioSignage  Sign In Page : https://digitalsignage.jio.com/users/sign_in .
2. Login with valid credentials.
3.Click content management&gt; media
4. From folder dropdown click on Search box
5. Enter any text
6. Click on Search</t>
  </si>
  <si>
    <t xml:space="preserve">1.User should be able to search for any folder
2. Searched folder should be highlighted
</t>
  </si>
  <si>
    <t>test__Material_selectFolderFromDropdown_BySearchBar</t>
  </si>
  <si>
    <t>Accessibility of folder</t>
  </si>
  <si>
    <t>Verify that folder is accessible by clicking on the folder name in folder path</t>
  </si>
  <si>
    <t>1. Launch JioSignage  Sign In Page : https://digitalsignage.jio.com/users/sign_in .
2. Login with valid credentials.
3.Click content management&gt; media
4. Select a folder from Folder drop down available from top right corner
5. On the folder path, click on folder name
6. Observe</t>
  </si>
  <si>
    <t>Folder should be accessible by clicking on folder name</t>
  </si>
  <si>
    <t>test_Material_clickOnFolderNameFromDropdown</t>
  </si>
  <si>
    <t>Materials Details</t>
  </si>
  <si>
    <t>Verify that user can view the following details of the Materials:-
1. Thumbnail
2. Name
3.  Folder
4. Details
5. Upload At
6. Materials Type</t>
  </si>
  <si>
    <t>1. Launch JioSignage  Sign In Page : https://digitalsignage.jio.com/users/sign_in .
2. Login with valid credentials.
3.Click content management&gt; media
4. Observe the page</t>
  </si>
  <si>
    <t>User should be able to see all the Materials details</t>
  </si>
  <si>
    <t>test_Material_tableHeadings</t>
  </si>
  <si>
    <t>Material</t>
  </si>
  <si>
    <t>Select All Functionality</t>
  </si>
  <si>
    <t>Verify that user can select all the Materials that are available by clicking on All</t>
  </si>
  <si>
    <t>1. Launch JioSignage  Sign In Page : https://digitalsignage.jio.com/users/sign_in .
2. Login with valid credentials.
3.Click content management &gt; media
4. Click on All
5. Observe</t>
  </si>
  <si>
    <t>User should be able to select all the Medias that are available</t>
  </si>
  <si>
    <t>test_Material_ALL_Option</t>
  </si>
  <si>
    <t>Scroll Functionality</t>
  </si>
  <si>
    <t>Verify that user is able to scroll up and down in Materials page</t>
  </si>
  <si>
    <t>1. Launch JioSignage  Sign In Page : https://digitalsignage.jio.com/users/sign_in .
2. Login with valid credentials.
3. Click content management&gt; media
4. Scroll up and down using Mouse
5. Observe</t>
  </si>
  <si>
    <t>User should be able to scroll up and down using Mouse in Materials page</t>
  </si>
  <si>
    <t>test_verifyScroll_MaterialPage</t>
  </si>
  <si>
    <t>Check Box Functionality</t>
  </si>
  <si>
    <t>Verify checkbox functionality in Materials &gt; Root</t>
  </si>
  <si>
    <t>1. Launch JioSignage  Sign In Page : https://digitalsignage.jio.com/users/sign_in .
2. Login with valid credentials.
3. Click content management&gt; media
4. Enable Check box</t>
  </si>
  <si>
    <t>User should be able to select single / multiple materials by enabling Check Box</t>
  </si>
  <si>
    <t>test_MaterialPage_Checkbox_one_and_Multiple</t>
  </si>
  <si>
    <t>Verify checkbox functionality in Materials &gt; Shared</t>
  </si>
  <si>
    <t>1. Launch JioSignage  Sign In Page : https://digitalsignage.jio.com/users/sign_in .
2. Login with valid credentials.
3. Click content management&gt; media
4. Click on Shared
5. Enable Check box</t>
  </si>
  <si>
    <t>test_SharedFolderPage_Checkbox_one_and_Multiple</t>
  </si>
  <si>
    <t>Verify checkbox functionality in Materials &gt; Trashed</t>
  </si>
  <si>
    <t>1. Launch JioSignage  Sign In Page : https://digitalsignage.jio.com/users/sign_in .
2. Login with valid credentials.
3. Click content management&gt; media
4. Click on Trashed
5. Enable Check box</t>
  </si>
  <si>
    <t>User should be able to select single / multiple materials by enabling Check Box from trash</t>
  </si>
  <si>
    <t>test_TrashPage_Checkbox_one_and_Multiple</t>
  </si>
  <si>
    <t>Entries Selection</t>
  </si>
  <si>
    <t>Verify Show Entries based on entries selection</t>
  </si>
  <si>
    <t>1. Launch JioSignage  Sign In Page : https://digitalsignage.jio.com/users/sign_in .
2. Login with valid credentials.
3. Click content management&gt; media
4. Click number near to text "show" which is available on bottom left corner.</t>
  </si>
  <si>
    <t>1. Verify 20, 50, 100, 200, 500 entries are available for selection
2. Verify number of entries displayed based on Show Entries selected on the page</t>
  </si>
  <si>
    <t>test_Material_20_50_100_200_500_entries</t>
  </si>
  <si>
    <t>Verify Show Entries</t>
  </si>
  <si>
    <t>1. Launch JioSignage  Sign In Page : https://digitalsignage.jio.com/users/sign_in .
2. Login with valid credentials.
3. Click content management&gt; media
4. Observe Number of entries at the bottom of the column</t>
  </si>
  <si>
    <t>1. Verify entries text from "1 to n of n entries" displayed based on entries available on the page
2. Verify previous &amp; next icon is available for page navigation</t>
  </si>
  <si>
    <t>test_Material_show_entries</t>
  </si>
  <si>
    <t>TC68</t>
  </si>
  <si>
    <t>Arrow button functionality</t>
  </si>
  <si>
    <t>Verify right arrow (&gt;) on bottom right corner on Materials</t>
  </si>
  <si>
    <t>1. Launch JioSignage  Sign In Page : https://digitalsignage.jio.com/users/sign_in .
2. Login with valid credentials.
3. Click content management&gt; &gt; upload Media
4. Click (&gt;) arrow on bottom right corner.</t>
  </si>
  <si>
    <t>User should be able to see the next set of entries by clicking on &gt;</t>
  </si>
  <si>
    <t>test_verifyNextOptionOnMaterial</t>
  </si>
  <si>
    <t>Verify left arrow (&lt;) on bottom right corner on Materials</t>
  </si>
  <si>
    <t>1. Launch JioSignage  Sign In Page : https://digitalsignage.jio.com/users/sign_in .
2. Login with valid credentials.
3. Click content management&gt; Media&gt; upload Material
4. Click (&lt;) arrow on bottom right corner.</t>
  </si>
  <si>
    <t>User should be able to see the previous set of entries by clicking on &lt;</t>
  </si>
  <si>
    <t>test_verifyPreviousOptionOnMaterial</t>
  </si>
  <si>
    <t>Verify user will get a warning message when uploading a file while storage is full</t>
  </si>
  <si>
    <t>Pre-Condition : 
Storage should be Full
Steps :
1. Launch JioSignage  Sign In Page : https://digitalsignage.jio.com/users/sign_in .
2. Login with valid credentials.
3. Click content management &gt; Media
4. Click on Add new media
5. Click on "Drag and drop file here or click to browse"
6. Select Files according your choice
7. Click on Open
8. Click on upload</t>
  </si>
  <si>
    <t>User should get a warning message like "File is too big, max file size allowed is remaining storage".
Also File upload should not happen.</t>
  </si>
  <si>
    <t>Shared functionality</t>
  </si>
  <si>
    <t>Verify user able to create Shared folder through Add folder option</t>
  </si>
  <si>
    <t>Steps :
1. Launch JioSignage  Sign In Page : https://digitalsignage.jio.com/users/sign_in .
2. Login with valid credentials.
3. Click content management &gt; Media
4. Click on Add folder button
5. Enter any name
6. Select the Shared checkbox
7. Click on Add</t>
  </si>
  <si>
    <t>User should get the message like "Folder has been successfully added" .
Verify name of the folder in folder list.</t>
  </si>
  <si>
    <t>Shared Folder</t>
  </si>
  <si>
    <t>Upload Media</t>
  </si>
  <si>
    <t>Verify user able to upload media in shared folder that created through Add folder option</t>
  </si>
  <si>
    <t>Steps :
1. Launch JioSignage  Sign In Page : https://digitalsignage.jio.com/users/sign_in .
2. Login with valid credentials.
3. Click content management &gt; Media
4. Click on Add Folder button
5. Enter any name
6. Select the Shared checkbox
7. Click on Add
8. Click on Add Media(+) option
9. Click on "Drag and drop files here or click to browse"
10. Select required files and click on open
11. Click on upload</t>
  </si>
  <si>
    <t>User should able to upload media in the share folder that created through Add folder option</t>
  </si>
  <si>
    <t>TC73</t>
  </si>
  <si>
    <t>Delete Media</t>
  </si>
  <si>
    <t>Verify user able to delete the files from shared folder that created through Add Folder option</t>
  </si>
  <si>
    <t>Steps :
1. Launch JioSignage  Sign In Page : https://digitalsignage.jio.com/users/sign_in .
2. Login with valid credentials.
3. Click content management &gt; Media
4. Click on Add media button(+)
5. Enter any name
6. Select the Shared checkbox
7. Click on Add
8. Add some file in that folder
9. Click on the checkbox for required media
10. Click on 3 dot
11. Click on Move to trash
12. Click on Ok</t>
  </si>
  <si>
    <t>User should able to delete the files from Shared folder that created through Add folder option</t>
  </si>
  <si>
    <t>TC74</t>
  </si>
  <si>
    <t>Move Media</t>
  </si>
  <si>
    <t>Verify user able to move the files from shared folder to other folder that created through Add Folder option</t>
  </si>
  <si>
    <t>Steps :
1. Launch JioSignage  Sign In Page : https://digitalsignage.jio.com/users/sign_in .
2. Login with valid credentials.
3. Click content management &gt; Media
4. Click on Add Folder button
5. Enter any name
6. Select the Shared checkbox
7. Click on Add
8. Add some file in that folder
9. Click on the checkbox for required media
10. Click on 3 dot
11. Click on Move material
12. Click on Search and select the folder name
13. Click on Move</t>
  </si>
  <si>
    <t xml:space="preserve">User should able to move the media files from Shared folder to other folder </t>
  </si>
  <si>
    <t>TC75</t>
  </si>
  <si>
    <t>Copy to Shared</t>
  </si>
  <si>
    <t>Verify user able to copy the files to Shared folder through "Copy to Shared folder" option</t>
  </si>
  <si>
    <t>Steps :
1. Launch JioSignage  Sign In Page : https://digitalsignage.jio.com/users/sign_in .
2. Login with valid credentials.
3. Click content management &gt; Media
4. Click on Add media button
5. Enter any name
6. Select the Shared checkbox
7. Click on Add
8. Add some file in that folder
9. Click on the checkbox for required media
10. Click on 3 dot
11. Click on Copy to Shared
12. Click on Ok</t>
  </si>
  <si>
    <t>User should able to copy the media files to Shared folder directly</t>
  </si>
  <si>
    <t>TC76</t>
  </si>
  <si>
    <t>Create Playlist</t>
  </si>
  <si>
    <t>Verify user able to create new playlist using Shared folder files that created through Add Folder option</t>
  </si>
  <si>
    <t>Steps :
1. Launch JioSignage  Sign In Page : https://digitalsignage.jio.com/users/sign_in .
2. Login with valid credentials.
3. Click content management &gt; Media
4. Click on Add media button
5. Enter any name
6. Select the Shared checkbox
7. Click on Add
8. Add some file in that folder
9. Click on the checkboxes for required media
10. Click on 3 dot
11. Click on "Create playlist"
12.  Select the radio button "New playlist"
13. Enter any playlist name
14. Set Image Default duration in sec
15. Click On Add</t>
  </si>
  <si>
    <t xml:space="preserve">User should able to create new playlist using shared folder media files </t>
  </si>
  <si>
    <t>TC77</t>
  </si>
  <si>
    <t>Add Media  to Existing Playlist</t>
  </si>
  <si>
    <t>Verify user able to add the shared folder files in Existing Playlist through "Create Playlist" option</t>
  </si>
  <si>
    <t>Steps :
1. Launch JioSignage  Sign In Page : https://digitalsignage.jio.com/users/sign_in .
2. Login with valid credentials.
3. Click content management &gt; Media
4. Click on Add media button
5. Enter any name
6. Select the Shared checkbox
7. Click on Add
8. Add some file in that folder
9. Click on the checkboxes for required media
10. Click on 3 dot
11. Click on "Create playlist"
12.  Select the radio button "Existing playlist"
13. Select the Existing folder name
14. Set Image Default duration in sec
15. Click on Add</t>
  </si>
  <si>
    <t xml:space="preserve">User should able to add the shared folder files in existing playlist through "Create Playlist" option </t>
  </si>
  <si>
    <t>TC78</t>
  </si>
  <si>
    <t>Verify user is able to move media file</t>
  </si>
  <si>
    <t>1. Launch JioSignage  Sign In Page : https://digitalsignage.jio.com/users/sign_in .
2. Login with valid credentials.
3.Click content management &gt; media
4.Select any existing media(image) file.
5. Go to 3 dot button menu and select Move Media option.
6. Select required folder option and click Move button.</t>
  </si>
  <si>
    <t>User should be able to move media to desired folder</t>
  </si>
  <si>
    <t>test_MoveMedia</t>
  </si>
  <si>
    <t>TC79</t>
  </si>
  <si>
    <t>Create playlist</t>
  </si>
  <si>
    <t>Verify Create Playlist feature from Material section</t>
  </si>
  <si>
    <t>1. Launch JioSignage  Sign In Page : https://digitalsignage.jio.com/users/sign_in .
2. Login with valid credentials.
3.Click content management &gt; media
4.Select any existing media(image) file.
5. Go to 3 dot button menu and select create playlist
6. Enter name of the playlist and select duration of media
7. Click Add</t>
  </si>
  <si>
    <t>User should be able to create a playlist</t>
  </si>
  <si>
    <t>test_CreatePlaylistFromMediaPage</t>
  </si>
  <si>
    <t>Layout Creation</t>
  </si>
  <si>
    <t>Add new Layout option</t>
  </si>
  <si>
    <t xml:space="preserve">Check the add new Layout option </t>
  </si>
  <si>
    <t>1. Launch JioSignage (https://digitalsignage.jio.com/users/sign_in) in browser.
2. Login with valid credential.
3. Select Layouts page from home screen via path : Dashboard &gt; Content Management &gt; Layouts.
4. Hover the curser on + icon (Add new layout).
5. Click on the + icon &gt; observe.</t>
  </si>
  <si>
    <t>1. Hovering over the option should shows tooltip as 'Add new Layout'.
2. By click on add new option Create Layouts screen should be opened.</t>
  </si>
  <si>
    <t>test_addNewContent_Option</t>
  </si>
  <si>
    <t>Create new Layout</t>
  </si>
  <si>
    <t>Layout Name</t>
  </si>
  <si>
    <t>Check Add new Layout name (With Supported input)</t>
  </si>
  <si>
    <t>1. Launch JioSignage (https://digitalsignage.jio.com/users/sign_in) in browser.
2. Login with valid credential.
3. Select Layouts page from home screen via path : Dashboard &gt; Content Management &gt; Layouts.
4. Click on the + icon (Add new layout).
5. Provide sample name " 1M. _" (It is a supported input as per specification) in Layout name field .
6. Select Blank Template option &gt; click on "Add" button to save layout.</t>
  </si>
  <si>
    <t>&gt;User should able to add the Layouts name, Only with supported input characters  (Only letters, numbers, dots, spaces and underscores are allowed).
Verify that Layout Name field is accepting only supported input as per specification provided (Only letters, numbers, dots, spaces and underscores are allowed).</t>
  </si>
  <si>
    <t>test_addNewContent</t>
  </si>
  <si>
    <t>Check Add new Layouts name (With non-supported input)</t>
  </si>
  <si>
    <t>1. Launch JioSignage (https://digitalsignage.jio.com/users/sign_in) in browser.
2. Login with valid credential.
3. Select Layouts page from home screen via path : Dashboard &gt; Content Management &gt; Layouts.
4. Click on the + icon (Add new layout).
5. Provide sample name " @, $.. " (It is a non-supported input as per specification) in Layout name field .
6. Select Blank Template option &gt; click on "Add" button to save layout.</t>
  </si>
  <si>
    <t>&gt;It should show error message as '(Only letters, numbers, dots, spaces and underscores are allowed)'.</t>
  </si>
  <si>
    <t>test_addNewContent_SpecialChar</t>
  </si>
  <si>
    <t>Screen Orientation</t>
  </si>
  <si>
    <t>Check screen orientation options availability</t>
  </si>
  <si>
    <t>1. Launch JioSignage (https://digitalsignage.jio.com/users/sign_in) in browser.
2. Login with valid credential.
3.  Select Layouts page from home screen via path : Dashboard &gt; Content Management &gt; Layouts.
4. Observe the Create new Layout screen.
5. Observe the  Screen orientation options and switch between Horizontal and Vertical options.</t>
  </si>
  <si>
    <t>&gt;User should able to select between  screen orientation options from Vertical or Horizontal.</t>
  </si>
  <si>
    <t>test_VerticalHorizontal_option</t>
  </si>
  <si>
    <t>Create new Layouts</t>
  </si>
  <si>
    <t>Resolution</t>
  </si>
  <si>
    <t>Check the Resolution options for Horizontal screen orientation</t>
  </si>
  <si>
    <t xml:space="preserve">1. Launch JioSignage (https://digitalsignage.jio.com/users/sign_in) in browser.
2. Login with valid credential.
3. Select Layouts page from home screen via path : Dashboard &gt; Content Management &gt; Layouts.
4. Select the Horizontal orientation from the create new Layout screen.
5. Click on the resolution option from the dropdown and check each and every resolution from the dropdown. 
&gt; The resolutions are as follows:
1) 1920 x 1020 (HD 1080p)
2) 3840 x 2160 (4k)
3) 7680 x 4320 (8k)
4) 1366 x 768 (HD)
5) 1280 x 752
6) 1280 x 720 (Full HD)
7) 1024 x 768 (XGA - iPad, etc.)
8) Other resolution
</t>
  </si>
  <si>
    <t>It should show the following resolution options, and the user should be able to select and set each one:
1) 1920 x 1020 (HD 1080p)
2) 3840 x 2160 (4k) 
3) 7680 x 4320 (8k)
4) 1366 x 768 (HD)
5) 1280 x 752
6) 1280 x 720 (Full HD)
7) 1024 x 768 (XGA (iPad ,etc..)
8) Other resolution</t>
  </si>
  <si>
    <t>test_ResolutionDropdown_HorizontalSelected</t>
  </si>
  <si>
    <t>Check the Resolution options for vertical Screen orientation</t>
  </si>
  <si>
    <t xml:space="preserve">1. Launch JioSignage (https://digitalsignage.jio.com/users/sign_in) in browser.
2. Login with valid credential.
3. Select Layouts page from home screen via path : Dashboard &gt; Content Management &gt; Layouts.
4. Select the Vertical orientation from the create new Layout screen.
5. Click on the resolution option from the dropdown and check each and every resolution from the dropdown. 
&gt; The resolutions are as follows:
1) 1080 x 1920 (HD 1080p)
2) 4320 x 7680 (8k) 
3) 2160 x 3840 (4k)
4) 720 x 1280 (HD 720p)
5) Other resolution
</t>
  </si>
  <si>
    <t xml:space="preserve">
It should show the following resolution options, and the user should be able to select and set each one:
1) 1080 x 1920 (HD 1080p)
2) 4320 x 7680 (8k)
3) 2160 x 3840 (4k)
4) 720 x 1280 (HD 720p)
5) Other resolution</t>
  </si>
  <si>
    <t>test_ResolutionDropdown_VerticalSelected</t>
  </si>
  <si>
    <t>Custom Resolution</t>
  </si>
  <si>
    <t>Check custom resolution set for Layouts</t>
  </si>
  <si>
    <t>1. Launch JioSignage (https://digitalsignage.jio.com/users/sign_in) in browser.
2. Login with valid credential.
3. Select Layouts page from home screen via path : Dashboard &gt; Content Management &gt; Layouts.
4. Select any screen orientation option.
5. select other resolution option from dropdown of resolution.
6. select blank/other option &gt; observe.</t>
  </si>
  <si>
    <t>&gt;user should be able to enter the custom resolution 
&gt;User should able to create the new Layouts with custom resolution</t>
  </si>
  <si>
    <t>test_AddNewContent_CustomResolution</t>
  </si>
  <si>
    <t>Template</t>
  </si>
  <si>
    <t>Check the templates to create new Layouts</t>
  </si>
  <si>
    <t>1. Launch JioSignage (https://digitalsignage.jio.com/users/sign_in) in browser.
2. Login with valid credential.
3. Select Layouts page from home screen via path : Dashboard &gt; Content Management &gt; Layouts.
4. click on add new Layouts option.
5. observe the create new Layouts screen.
6. observe the templates</t>
  </si>
  <si>
    <t>&gt;Below templates should be available on the create new Layouts screen 
1. Blank 
2. An template for playing video
3. An template for splitting the screen
&gt;User should be able to create the new Layouts with selected template option</t>
  </si>
  <si>
    <t>test_addNewContent_slideOptions</t>
  </si>
  <si>
    <t>Blank Template</t>
  </si>
  <si>
    <t>Check able to create Layouts using a blank template</t>
  </si>
  <si>
    <t>1. Launch JioSignage (https://digitalsignage.jio.com/users/sign_in) in browser.
2. Login with valid credential.
3. Select Layouts page from home screen via path : Dashboard &gt; Content Management &gt; Layouts.
4. Click on the add new Layouts option.
5. Enter the Layouts Name.
6. Select Blank option..
7. Click on add button.
7. observe.</t>
  </si>
  <si>
    <t>&gt;User should able to create Layouts with blank template.</t>
  </si>
  <si>
    <t>test_addNewContent_BlankSlide</t>
  </si>
  <si>
    <t>For Document</t>
  </si>
  <si>
    <t>Check able to create Layouts using Document template</t>
  </si>
  <si>
    <t>1. Launch JioSignage (https://digitalsignage.jio.com/users/sign_in) in browser.
2. Login with valid credential.
3. Select Layouts page from home screen via path : Dashboard &gt; Content Management &gt; Layouts.
4. Click on the add new Layouts option.
5. Enter the Layouts Name.
6. Select for document option
7. Click on add button.
8. observe.</t>
  </si>
  <si>
    <t>&gt;User should able to create Layouts with only document supported template.</t>
  </si>
  <si>
    <t>Document Template</t>
  </si>
  <si>
    <t>PPT file</t>
  </si>
  <si>
    <t>Check able to add the PPT file to document type Layouts</t>
  </si>
  <si>
    <t>1. Launch JioSignage (https://digitalsignage.jio.com/users/sign_in) in browser.
2. Login with valid credential.
3. Select Layouts page from home screen via path : Dashboard &gt; Content Management &gt; Layouts.
3. Click on the "Add New Layouts" option.
4. Enter Layouts name &gt; select document type template &gt; click on add option &gt; observe the Layouts created with edit Layouts screen.
5. select head folder &gt; select documents &gt; select the PPT file &gt; drag the selected file and drop it to the slide.
6. Observe  the processing pop up &gt; observe the save Layouts pop up&gt; click on save option &gt; observe.</t>
  </si>
  <si>
    <t>&gt;User should able to drag and drop the selected file to slide.
&gt;After click on save option from pop up 
it should create the each slide of the PPT to respective Layouts slides.</t>
  </si>
  <si>
    <t>Docx File</t>
  </si>
  <si>
    <t>Check able to add the Docx file to document type Layouts</t>
  </si>
  <si>
    <t>1. Launch JioSignage (https://digitalsignage.jio.com/users/sign_in) in browser.
2. Login with valid credential.
3. Select Layouts page from home screen via path : Dashboard &gt; Content Management &gt; Layouts.
4. Click on the add new Layouts option.
5. enter Layouts name &gt; select document type template &gt; click on add option &gt; observe the Layouts created with edit Layouts screen.
6. select head folder &gt; select documents &gt; select the PPT file &gt; drag the selected file and drop it to the slide.
7. Observe  the processing pop up &gt; observe the save Layouts pop up&gt; click on save option &gt; observe.</t>
  </si>
  <si>
    <t>&gt;User should able to drag and drop the selected file to slide.
&gt;After click on save option from pop up 
it should create the each page of the Docx file to respective Layouts slides.</t>
  </si>
  <si>
    <t>PDF file</t>
  </si>
  <si>
    <t>Check able to add the PDF file to document type Layouts</t>
  </si>
  <si>
    <t>1. Launch JioSignage (https://digitalsignage.jio.com/users/sign_in) in browser.
2. Login with valid credential.
3. Select Layouts page from home screen via path : Dashboard &gt; Content Management &gt; Layouts.
4. Click on the add new Layouts option.
5. enter Layouts name &gt; select document type template &gt; click on add option &gt; observe the Layouts created with edit Layouts screen.
6. select head folder &gt; select documents &gt; select the PDF file &gt; drag the selected file and drop it to the slide.
7. Observe  the processing pop up &gt; observe the save Layouts pop up&gt; click on save option &gt; observe.</t>
  </si>
  <si>
    <t>&gt;User should able to drag and drop the selected file to slide.
&gt;After click on save option from pop up 
it should create the each page of the PDF file to respective Layouts slides.</t>
  </si>
  <si>
    <t>Cancel process</t>
  </si>
  <si>
    <t>Check able to cancel the processing of slides creation</t>
  </si>
  <si>
    <t>1. Launch JioSignage (https://digitalsignage.jio.com/users/sign_in) in browser.
2. Login with valid credential.
3. Select Layouts page from home screen via path : Dashboard &gt; Content Management &gt; Layouts.
4. Select Layouts page from home screen via path : Dashboard &gt; Content Management &gt; Layouts.
5. Click on the add new Layouts option.
6. enter Layouts name &gt; select document type template &gt; click on add option &gt; observe the Layouts created with edit Layouts screen.
7. select head folder &gt; select documents &gt; select the PDF/PPT/Docx file &gt; drag  the selected file and drop it to the slide of the Layouts.
8. Observe the processing pop up &gt; click on the cancel option from the pop up.
9. Observe the edit Layouts screen behavior.</t>
  </si>
  <si>
    <t>&gt;It should stop the Document to slide creation process.
&gt;It should not create the slides of the dragged file and cancel the operation.</t>
  </si>
  <si>
    <t>Edit Layouts</t>
  </si>
  <si>
    <t>Check If able to edit the Layouts created using Document template</t>
  </si>
  <si>
    <t>1. Launch JioSignage (https://digitalsignage.jio.com/users/sign_in) in browser.
2. Login with valid credential.
3. Select Layouts page from home screen via path : Dashboard &gt; Content Management &gt; Layouts.
4. Click on the add new Layouts option.
5. enter Layouts name &gt; select document type template &gt; click on add option &gt; observe the Layouts created with edit Layouts screen.
6. select head folder &gt; select documents &gt; select the PDF/PPT/Docx file &gt; drag  the selected file and drop it to the slide of the Layouts.
7. Observe the edit Layouts screen.
8. Check if able to edit the Layouts screen options like Add slide , delete slide ,add audio , set expiry , approval.</t>
  </si>
  <si>
    <t>&gt;User should able to edit the Layouts with respective features available on the screen to Modify the slides , add materials , Set expiry etc..</t>
  </si>
  <si>
    <t>Edit slide</t>
  </si>
  <si>
    <t>Check if able to edit the slide of the Layouts created using Document templates</t>
  </si>
  <si>
    <t>1. Launch JioSignage (https://digitalsignage.jio.com/users/sign_in) in browser.
2. Login with valid credential.
3. Select Layouts page from home screen via path : Dashboard &gt; Content Management &gt; Layouts.
4. Click on the add new Layouts option.
5. enter Layouts name &gt; select document type template &gt; click on add option &gt; observe the Layouts created with edit Layouts screen.
6. select head folder &gt; select documents &gt; select the PDF/PPT/Docx file &gt; drag  the selected file and drop it to the slide of the Layouts.
7.Observe the edit Layouts screen with slides created &gt; select the slide.
8. Click on the edit option from the slide &gt; check able to edit the slide by adding multiple objects , set  refresh rate etc...</t>
  </si>
  <si>
    <t>&gt;User should able to edit the slides of the Layouts created with document template.
&gt;User should able to add objects to the slide.
&gt;User should able to modify the slide using available options.</t>
  </si>
  <si>
    <t>For Playing Video</t>
  </si>
  <si>
    <t>Check able to create Layouts using Playing video template</t>
  </si>
  <si>
    <t>1. Launch JioSignage (https://digitalsignage.jio.com/users/sign_in) in browser.
2. Login with valid credential.
3. Select Layouts page from home screen via path : Dashboard &gt; Content Management &gt; Layouts.
4. Click on the add new Layouts option.
5. Enter the Layouts Name.
6. Select For video playing option
7. Click on add button.
8. observe.</t>
  </si>
  <si>
    <t>&gt;User should able to create Layouts for playing video.</t>
  </si>
  <si>
    <t>test_addNewContent_TemplateForPlayingVideo</t>
  </si>
  <si>
    <t xml:space="preserve">Check able to add the video as background </t>
  </si>
  <si>
    <t>1. Launch JioSignage (https://digitalsignage.jio.com/users/sign_in) in browser.
2. Login with valid credential.
3. Select Layouts page from home screen via path : Dashboard &gt; Content Management &gt; Layouts.
4. Click on the add new Layouts option.
5. Enter the Layouts Name.
6. Select For video playing option
7. Click on add button.
8. observe the edit Layouts screen.
9. Select head folder &gt; select videos &gt; drag any video to the slide.
10. observe the preview of the Layouts.</t>
  </si>
  <si>
    <t>&gt;User should able to drag the selected video file to the slide.
&gt;Selected video  should be observed as background on preview screen.
&gt;User should able to deliver the Layouts to the display with video background.</t>
  </si>
  <si>
    <t>Playing video template</t>
  </si>
  <si>
    <t>Check if able to edit Layouts with video background</t>
  </si>
  <si>
    <t>1. Launch JioSignage (https://digitalsignage.jio.com/users/sign_in) in browser.
2. Login with valid credential.
3. Select Layouts page from home screen via path : Dashboard &gt; Content Management &gt; Layouts.
4. Select Layouts page from home screen via path : Dashboard &gt; Content Management &gt; Layouts.
5. Click on the add new Layouts option.
6. Enter the Layouts Name.
7. Select For video playing option
8. Click on add button.
9. observe the edit Layouts screen.
10. Select head folder &gt; select videos &gt; drag any video to the slide.
11. Check able to edit Layouts using multiple features option available on screen.</t>
  </si>
  <si>
    <t xml:space="preserve">&gt;user should able to modify the Layouts to set expiry , add audio , send approval status. </t>
  </si>
  <si>
    <t>Check if edit the slide of Layouts with video background</t>
  </si>
  <si>
    <t>1. Launch JioSignage (https://digitalsignage.jio.com/users/sign_in) in browser.
2. Login with valid credential.
3. Select Layouts page from home screen via path : Dashboard &gt; Content Management &gt; Layouts.
4. Click on the add new Layouts option.
5. Enter the Layouts Name.
6. Select For video playing option
7. Click on add button.
8. observe the edit Layouts screen.
9. Select head folder &gt; select videos &gt; drag any video to the slide.
10. click on the edit button from the slide &gt; observe the edit slide button.
11. check the edit slide options from side menu e.g. Entire Screen, Background, Addobject, action &amp; auto tap.</t>
  </si>
  <si>
    <t>&gt;User should able to edit the Layouts slide to modify the background , fit to display options.</t>
  </si>
  <si>
    <t>For Splitting screen</t>
  </si>
  <si>
    <t>Check able to create Layouts using Splitting screen</t>
  </si>
  <si>
    <t>1. Click on the add new Layouts option.
2. Enter the Layouts Name.
3. Select For splitting screen option.
4. Choose the template option from the screen &gt; click on add option.
5. Add object in the splitting screen section e.g. in one section image object and in other section video object
6. Drag image and video to the splitting sections.
7. Click on Save
8. Observe.</t>
  </si>
  <si>
    <t xml:space="preserve">&gt;user should able to create Layouts for splitting screen.
</t>
  </si>
  <si>
    <t>test_addNewContent_TemplateForSplitScreen</t>
  </si>
  <si>
    <t>Split screen template</t>
  </si>
  <si>
    <t>Check able to select the split screen template option from the screen.</t>
  </si>
  <si>
    <t>1. Launch JioSignage (https://digitalsignage.jio.com/users/sign_in) in browser.
2. Login with valid credential.
3. Select Layouts page from home screen via path : Dashboard &gt; Content Management &gt; Layouts.
4. Click on the add new Layouts option.
5. Enter the Layouts Name.
6. Select For splitting screen option.
7. choose the template option from the screen.
8. observe the split template pop up screen.
9. Check able to select the each  options (check with all 10 options ) from the split templates to create Layouts &gt; click on add.</t>
  </si>
  <si>
    <t>&gt;User should able to create Layouts with  each selected split template.
&gt;User should able to create split screen Layouts using each 10 templates.
&gt;After create the Layouts &gt; edit Layouts with selected split template slide should be observed.</t>
  </si>
  <si>
    <t>test_addNewContent_TemplateForSplitScreen_10_Opt</t>
  </si>
  <si>
    <t>Layouts background</t>
  </si>
  <si>
    <t>Check able to change the background of the split Layouts</t>
  </si>
  <si>
    <t>1. Launch JioSignage (https://digitalsignage.jio.com/users/sign_in) in browser.
2. Login with valid credential.
3. Select Layouts page from home screen via path : Dashboard &gt; Content Management &gt; Layouts.
4. Click on the add new Layouts option.
5. Enter the Layouts Name.
6. Select For splitting screen option.
7. choose the template &gt; click on add.
8. Observe the edit Layouts screen.
9. select head folder &gt; images &gt; drag any image file and drop it to the Layouts slide.
10. click on preview option &gt; observe.</t>
  </si>
  <si>
    <t xml:space="preserve">&gt;Selected image file should be observed on preview of the Layouts as a background.
</t>
  </si>
  <si>
    <t>Check able to set video as a background of Layouts slide</t>
  </si>
  <si>
    <t>1. Launch JioSignage (https://digitalsignage.jio.com/users/sign_in) in browser.
2. Login with valid credential.
3. Select Layouts page from home screen via path : Dashboard &gt; Content Management &gt; Layouts.
4. Click on the add new Layouts option.
5. Enter the Layouts Name.
6. Select For splitting screen option.
7. choose the template &gt; click on add.
8. Observe the edit Layouts screen.
9. select head folder &gt;drag any video try to drop it to the  Layouts slide.
10. Observe the behavior.</t>
  </si>
  <si>
    <t>&gt;Split Layouts slide should not allow drop any video as a Layouts background.
&gt;It should show red flag on dragging window or it should show proper error message.</t>
  </si>
  <si>
    <t>Check if able to edit the Layouts created using split template</t>
  </si>
  <si>
    <t>1. Launch JioSignage (https://digitalsignage.jio.com/users/sign_in) in browser.
2. Login with valid credential.
3. Select Layouts page from home screen via path : Dashboard &gt; Content Management &gt; Layouts.
4. Click on the add new Layouts option.
5. Enter the Layouts Name.
6. Select For splitting screen option.
7. choose the template &gt; click on add.
8. Observe the edit Layouts screen.
9. Check the feature options working properly from the edit Layouts screen.</t>
  </si>
  <si>
    <t>&gt;User should able to edit the Layouts from the screen to ,
-User should able to add/remove audio to the Layouts.
-User should able to set expire date for the Layouts.
-User should able to send and approve the Layouts approval.
-User should able to view the preview of the Layouts properly after edit the Layouts.</t>
  </si>
  <si>
    <t>Check if able to open the edit slide screen of the Layouts</t>
  </si>
  <si>
    <t>1. Launch JioSignage (https://digitalsignage.jio.com/users/sign_in) in browser.
2. Login with valid credential.
3. Select Layouts page from home screen via path : Dashboard &gt; Content Management &gt; Layouts.
4. Click on the add new Layouts option.
5. Enter the Layouts Name.
6. Select For splitting screen option.
7. choose the template &gt; click on add.
8. Observe the edit Layouts screen.
9. click on the edit option from the slide.</t>
  </si>
  <si>
    <t>&gt;Edit slide screen should be observed after click on the edit option of the slide.</t>
  </si>
  <si>
    <t>test_addNewContent_TemplateForSplitScreen_EditOpt</t>
  </si>
  <si>
    <t>Add slide</t>
  </si>
  <si>
    <t>Check if able to add new slide to the Layouts</t>
  </si>
  <si>
    <t>1. Launch JioSignage (https://digitalsignage.jio.com/users/sign_in) in browser.
2. Login with valid credential.
3. Select Layouts page from home screen via path : Dashboard &gt; Content Management &gt; Layouts.
4. Click on the add new Layouts option.
5. Enter the Layouts Name.
6. Select For splitting screen option.
7. choose the template &gt; click on add.
8. Observe the edit Layouts screen.
9. click on the add new slide option from the screen.</t>
  </si>
  <si>
    <t>&gt;User should able to add new slide to Layouts.</t>
  </si>
  <si>
    <t>Copy slide</t>
  </si>
  <si>
    <t>Check if able to copy slide to the Layouts</t>
  </si>
  <si>
    <t>1. Launch JioSignage (https://digitalsignage.jio.com/users/sign_in) in browser.
2. Login with valid credential.
3. Select Layouts page from home screen via path : Dashboard &gt; Content Management &gt; Layouts.
4. Click on the add new Layouts option.
5. Enter the Layouts Name.
6. Select For splitting screen option.
7. choose the template &gt; click on add.
8. Observe the edit Layouts screen.
9. click on the copy slide option from the screen.</t>
  </si>
  <si>
    <t>&gt;User should able to copy the slide.</t>
  </si>
  <si>
    <t>Delete slide</t>
  </si>
  <si>
    <t>Check if able to delete the slide of the Layouts</t>
  </si>
  <si>
    <t>1. Launch JioSignage (https://digitalsignage.jio.com/users/sign_in) in browser.
2. Login with valid credential.
3. Select Layouts page from home screen via path : Dashboard &gt; Content Management &gt; Layouts.
4. Click on the add new Layouts option.
5. Enter the Layouts Name.
6. Select For splitting screen option.
7. choose the template &gt; click on add.
8. Observe the edit Layouts screen.
9. click on the delete slide option from the screen.</t>
  </si>
  <si>
    <t>&gt;User should able to delete  the slide.
&gt;after delete the slide &gt; by click on add slide option user should able to add new blank slide.</t>
  </si>
  <si>
    <t>Check if able to select the individual slide of the split screen templates</t>
  </si>
  <si>
    <t>1. Launch JioSignage (https://digitalsignage.jio.com/users/sign_in) in browser.
2. Login with valid credential.
3. Select Layouts page from home screen via path : Dashboard &gt; Content Management &gt; Layouts.
4. Click on the add new Layouts option.
5. Enter the Layouts Name.
6. Select For splitting screen option.
7. choose the template e.g.. with 2 split screen &gt; click on add.
8. Observe the edit Layouts screen.
9. click on  edit option of the slide.
10. Observe the edit slide screen &gt; check able to select the individual split screen from the slide</t>
  </si>
  <si>
    <t xml:space="preserve">&gt;Edit slide should show the number of split screen with the split screen number.
&gt;User should able to select the individual split screen from the slide.
&gt;Selected split screen should be highlighted with the red color frame.
</t>
  </si>
  <si>
    <t>test_addNewContent_TemplateForSplitScreen_SlideSelection</t>
  </si>
  <si>
    <t>Drag the material</t>
  </si>
  <si>
    <t>Check able to drag and drop the material to the split screens</t>
  </si>
  <si>
    <t>1. Launch JioSignage (https://digitalsignage.jio.com/users/sign_in) in browser.
2. Login with valid credential.
3. Select Layouts page from home screen via path : Dashboard &gt; Content Management &gt; Layouts.
4. Click on the add new Layouts option.
5. Enter the Layouts Name.
6. Select For splitting screen option.
7. choose the template e.g. with 2 split screen &gt; click on add.
8. Observe the edit Layouts screen.
9. click on  edit option of the slide.
10. Observe the edit slide screen &gt;Select one split screen from the edit slide screen.
11. select head folder &gt; select any material e.g. image/video&gt; check drag and drop it to the split screen of the Layouts.
12. Observe the behavior.</t>
  </si>
  <si>
    <t>&gt;User should not able to perform drag and drop any materials from the head/shared folder to the split screen of the Layouts slide.
&gt;It should not allow user to add material direct to the split screen without any Object added.</t>
  </si>
  <si>
    <t>adjust split screens</t>
  </si>
  <si>
    <t>Check if able to modify the split screen area on the edit slide screen.</t>
  </si>
  <si>
    <t>1. Launch JioSignage (https://digitalsignage.jio.com/users/sign_in) in browser.
2. Login with valid credential.
3. Select Layouts page from home screen via path : Dashboard &gt; Content Management &gt; Layouts.
4. Click on the add new Layouts option.
5. Enter the Layouts Name.
6. Select For splitting screen option.
7. choose the template e.g. with 2 split screen &gt; click on add.
8. Observe the edit Layouts screen.
9. click on  edit option of the slide.
10. Observe the edit slide screen &gt;Select one split screen from the edit slide screen.
11. observe the selected split screen area highlighted with red border.
12. Check able to drag the edges of the split screen using available points of split screen.</t>
  </si>
  <si>
    <t>&gt;User should able to modify the area of the split screen by change in the width or length of the it.
&gt;After change the area of the one split screen , other split Layouts area should be auto adjusted to the slide Or it should be fit to the slide.
&gt;There should be no gap observed in between to split screen after modify its area.</t>
  </si>
  <si>
    <t>add objects</t>
  </si>
  <si>
    <t>Check if able to add objects to the split screens</t>
  </si>
  <si>
    <t>1. Launch JioSignage (https://digitalsignage.jio.com/users/sign_in) in browser.
2. Login with valid credential.
3. Select Layouts page from home screen via path : Dashboard &gt; Content Management &gt; Layouts.
4. Click on the add new Layouts option.
5. Enter the Layouts Name.
6. Select For splitting screen option.
7. choose the template e.g.. with 2 split screen &gt; click on add.
8. Observe the edit Layouts screen.
9. click on  edit option of the slide.
10. Observe the edit slide screen &gt;Select one split screen from the edit slide screen.
11. click on objects &gt; select any object e.g.. image. &gt; observe the behavior.</t>
  </si>
  <si>
    <t>&gt;selected object should be added to selected  split screen of the slide.
&gt;If no split screen is selected then it should add the object to the first split screen by default.</t>
  </si>
  <si>
    <t>test_addNewContent_TemplateForSplitScreen_AddObject</t>
  </si>
  <si>
    <t>Delete object</t>
  </si>
  <si>
    <t>Check if able to delete the object from the split screen of the slide</t>
  </si>
  <si>
    <t xml:space="preserve">1. Launch JioSignage (https://digitalsignage.jio.com/users/sign_in) in browser.
2. Login with valid credential.
3. Select Layouts page from home screen via path : Dashboard &gt; Content Management &gt; Layouts.
4. Click on the add new Layouts option.
5. Enter the Layouts Name.
6. Select For splitting screen option.
7. choose the template e.g.. with 2 split screen &gt; click on add.
8. Observe the edit Layouts screen.
9. click on  edit option of the slide.
10. Observe the edit slide screen &gt;Select one split screen from the edit slide screen.
11. click on objects &gt; select any object e.g.. image.&gt; observe the object added to the split screen.
12. Click on the remove button (X) from the split screen title&gt; click on it &gt;observe.
</t>
  </si>
  <si>
    <t>&gt;By click on remove button icon from the split screen title &gt;Object should be removed from the split screen.</t>
  </si>
  <si>
    <t>test_addNewContent_TemplateForSplitScreen_RemoveObject_X_Btn</t>
  </si>
  <si>
    <t>Add Object to  all split screens</t>
  </si>
  <si>
    <t>Check if able to add the objects to each split screens of the slide.</t>
  </si>
  <si>
    <t xml:space="preserve">1. Launch JioSignage (https://digitalsignage.jio.com/users/sign_in) in browser.
2. Login with valid credential.
3. Select Layouts page from home screen via path : Dashboard &gt; Content Management &gt; Layouts.
4. Click on the add new Layouts option.
5. Enter the Layouts Name.
6. Select For splitting screen option.
7. choose the template e.g.. with 2 split screen &gt; click on add.
8. Observe the edit Layouts screen.
9. click on  edit option of the slide.
10. Observe the edit slide screen &gt;Select one split screen from the edit slide screen.
11. click on objects &gt; select any object e.g.. image. &gt; observe the behavior.
12. Select other split screen of the slide &gt; click on add object &gt; select any object image/video..
13. Click on preview &gt;Observe the preview of the Layouts </t>
  </si>
  <si>
    <t>&gt;User should able to add objects to the each split screens of the slide.
&gt;Preview of the Layouts should be verified with added objects to the respective split screen.</t>
  </si>
  <si>
    <t>test_addNewContent_TemplateForSplitScreen_AddObjectOnAllSlides</t>
  </si>
  <si>
    <t xml:space="preserve">Object status </t>
  </si>
  <si>
    <t>Check if able to identify the type of object added to the split screen</t>
  </si>
  <si>
    <t xml:space="preserve">1. Launch JioSignage (https://digitalsignage.jio.com/users/sign_in) in browser.
2. Login with valid credential.
3. Select Layouts page from home screen via path : Dashboard &gt; Content Management &gt; Layouts.
4. Click on the add new Layouts option.
5. Enter the Layouts Name.
6. Select For splitting screen option.
7. choose the template e.g.. with 2 split screen &gt; click on add.
8. Observe the edit Layouts screen.
9. click on  edit option of the slide.
10. Observe the edit slide screen &gt;Select one split screen from the edit slide screen.
11. click on objects &gt; select any object e.g.. image. &gt; observe the behavior.
12. observe the split screen title. </t>
  </si>
  <si>
    <t xml:space="preserve">&gt;Split screen should be observed with title as ,
1. Split screen number e.g.. as per the selected template either it is of 2 or 3 split screen.
2. Respective Added Object icon if available  e.g.. For Image object . image icon , for text object &gt; 'Text' string..
3. Remove (X) icon to remove the object </t>
  </si>
  <si>
    <t>test_addNewContent_TemplateForSplitScreen_AddObject_TitleNumXBtn</t>
  </si>
  <si>
    <t>Multiple Objects</t>
  </si>
  <si>
    <t>Check if able to add multiple objects to the single split screen</t>
  </si>
  <si>
    <t>1. Launch JioSignage (https://digitalsignage.jio.com/users/sign_in) in browser.
2. Login with valid credential.
3. Select Layouts page from home screen via path : Dashboard &gt; Content Management &gt; Layouts.
4. Open Layouts created using split screen template.
5. Select one split screen &gt; add object e.g.  Video &gt; select head folder &gt; select video &gt; drag any video to the split screen &gt; observe the preview of the Layouts.
6. Again select object &gt; add Video object &gt; observe the object screen added to the screen &gt; Try to drag and drop the video to the second object on slide OR drag it to the side menu &gt; video edit box.
7. Observe the behavior.</t>
  </si>
  <si>
    <t>&gt;User should not able to more than one object to the single split screen of the Layouts.</t>
  </si>
  <si>
    <t>Create Layouts</t>
  </si>
  <si>
    <t>Layouts list</t>
  </si>
  <si>
    <t>Check able to see the created Layouts list on screen</t>
  </si>
  <si>
    <t>1. Launch JioSignage (https://digitalsignage.jio.com/users/sign_in) in browser.
2. Login with valid credential.
3. Select Layouts page from home screen via path : Dashboard &gt; Content Management &gt; Layouts.
3. Create new Layouts &gt; save it.
4. go to Layouts home screen  &gt; observe.</t>
  </si>
  <si>
    <t>it should show the created Layouts list with below header options
 All, Name, Folder, Action, Usage Count, Duration, Details, Modified By, Modified At, Tag.</t>
  </si>
  <si>
    <t>test_addNewContent_VerifyTableContent</t>
  </si>
  <si>
    <t>Layouts Search</t>
  </si>
  <si>
    <t>Search Layouts</t>
  </si>
  <si>
    <t>Check able to search the created Layouts from the list</t>
  </si>
  <si>
    <t>1. Launch JioSignage (https://digitalsignage.jio.com/users/sign_in) in browser.
2. Login with valid credential.
3. Select Layouts page from home screen via path : Dashboard &gt; Content Management &gt; Layouts.
4.  go to Layouts home screen.
5. search the existing Layouts by name.
6. check for other header section options.</t>
  </si>
  <si>
    <t>&gt;User should able to search the Layouts by respective header section options.</t>
  </si>
  <si>
    <t>test_addNewContent_SearchByName</t>
  </si>
  <si>
    <t>Layouts Selection</t>
  </si>
  <si>
    <t>Multiselect</t>
  </si>
  <si>
    <t xml:space="preserve">Check if able to select multiple Layouts </t>
  </si>
  <si>
    <t>1. Launch JioSignage (https://digitalsignage.jio.com/users/sign_in) in browser.
2. Login with valid credential.
3. Select Layouts page from home screen via path : Dashboard &gt; Content Management &gt; Layouts.
4.  Go to Layouts home screen.
5. Click on checkbox of multiple Layouts&gt; observe.</t>
  </si>
  <si>
    <t>&gt;User should able to select multiple Layouts from the list.</t>
  </si>
  <si>
    <t>test_addNewContent_MultiSelect</t>
  </si>
  <si>
    <t>Layouts link</t>
  </si>
  <si>
    <t xml:space="preserve">Redirecting to Layouts </t>
  </si>
  <si>
    <t>Check redirecting to Layouts page by click on the Layouts name from the list</t>
  </si>
  <si>
    <t>1. Launch JioSignage (https://digitalsignage.jio.com/users/sign_in) in browser.
2. Login with valid credential.
3. Select Layouts page from home screen via path : Dashboard &gt; Content Management &gt; Layouts.
4.  Go to Layouts home screen.
5.  click on any Layouts name from the list &gt; observe.</t>
  </si>
  <si>
    <t>Selected Layouts page should be opened to edit the Layouts.</t>
  </si>
  <si>
    <t>test_addNewContent_ClickOnContentName</t>
  </si>
  <si>
    <t>Redirecting to Playlist</t>
  </si>
  <si>
    <t>Check redirecting to playlist of the Layouts form home screen</t>
  </si>
  <si>
    <t>1. Launch JioSignage (https://digitalsignage.jio.com/users/sign_in) in browser.
2. Login with valid credential.
3. Select Layouts page from home screen via path : Dashboard &gt; Content Management &gt; Layouts.
4. Got to Layouts Home screen.
5. Choose any Layouts  &gt;Usage count &gt; click on the playlist count number.
6. Observed</t>
  </si>
  <si>
    <t>&gt;It should redirect to the playlist where selected Layouts has been added.
&gt;It should not show any playlist in which selected Layouts is not listed.</t>
  </si>
  <si>
    <t>test_addNewContent_ClickOnPlaylistCount</t>
  </si>
  <si>
    <t>Redirecting to schedule</t>
  </si>
  <si>
    <t>Check redirecting to Schedules of the Layouts form home screen</t>
  </si>
  <si>
    <t>1. Launch JioSignage (https://digitalsignage.jio.com/users/sign_in) in browser.
2. Login with valid credential.
3. Select Layouts page from home screen via path : Dashboard &gt; Content Management &gt; Layouts.
4. Got to Layouts Home screen.
5. Choose any Layouts  &gt;Usage count &gt; click on the Schedules count number.
6. Observed</t>
  </si>
  <si>
    <t>&gt;It should redirect to the Schedules screen where selected Layouts has been added.
&gt;It should not show any Schedules  in which selected Layouts is not added.</t>
  </si>
  <si>
    <t>test_addNewContent_ClickOnScheduleCount</t>
  </si>
  <si>
    <t>Action</t>
  </si>
  <si>
    <t>Layouts Preview</t>
  </si>
  <si>
    <t>Check Layouts preview from the list</t>
  </si>
  <si>
    <t>1. Launch JioSignage (https://digitalsignage.jio.com/users/sign_in) in browser.
2. Login with valid credential.
3. Select Layouts page from home screen via path : Dashboard &gt; Content Management &gt; Layouts.
4.  Go to Layouts home screen.
5. select any Layouts &gt; actions &gt; click on preview option &gt; observe.</t>
  </si>
  <si>
    <t xml:space="preserve">selected Layouts preview should be observed </t>
  </si>
  <si>
    <t>test_addNewContent_ClickOnPreviewFromActions</t>
  </si>
  <si>
    <t>Copy Layouts</t>
  </si>
  <si>
    <t>Check copy the existing Layouts</t>
  </si>
  <si>
    <t>1. Launch JioSignage (https://digitalsignage.jio.com/users/sign_in) in browser.
2. Login with valid credential.
3. Select Layouts page from home screen via path : Dashboard &gt; Content Management &gt; Layouts.
4. Go to Layouts home screen.
5. select any Layouts e.g.. New1&gt; actions &gt; click on copy icon to copy the Layouts.
6. Enter the new Layouts name e.g.. New 2&gt; click on add.</t>
  </si>
  <si>
    <t>&gt;User should able to create copy of the Layouts from the list .
&gt;after creating copy of the Layouts , copied Layouts should be observed on Layouts list.
&gt;Copied Layouts should have similar entities to root Layouts.</t>
  </si>
  <si>
    <t>test_addNewContent_CopyFromActions</t>
  </si>
  <si>
    <t>Layouts Creation</t>
  </si>
  <si>
    <t xml:space="preserve">Sorting </t>
  </si>
  <si>
    <t>Check sorting options on Layouts list</t>
  </si>
  <si>
    <t>1. Launch JioSignage (https://digitalsignage.jio.com/users/sign_in) in browser.
2. Login with valid credential.
3. Select Layouts page from home screen via path : Dashboard &gt; Content Management &gt; Layouts.
4. Mouse hover to content management&gt;Click On Layout
5. Go to Layouts home screen.
6. check the sorting options for Name , Modified at ..</t>
  </si>
  <si>
    <t>User should able to sort the Layouts by respective header options</t>
  </si>
  <si>
    <t>More options</t>
  </si>
  <si>
    <t xml:space="preserve">Check more options menu </t>
  </si>
  <si>
    <t>1. Launch JioSignage (https://digitalsignage.jio.com/users/sign_in) in browser.
2. Login with valid credential.
3. Select Layouts page from home screen via path : Dashboard &gt; Content Management &gt; Layouts.
4. Mouse hover to content management&gt;Click On Layout
5. Observe Layouts home screen.
6. select any Layouts checkbox &gt; 3 dots (more options) &gt; observe.
7. click on more option &gt; observe.</t>
  </si>
  <si>
    <t>It should show the following options on more options :
Move Layouts ,Move to trash , Copy to shared , Remove tag , Add tag.
&gt;User should be able to select any of the options from it.</t>
  </si>
  <si>
    <t>test_VerifyMoreOptions</t>
  </si>
  <si>
    <t>More option</t>
  </si>
  <si>
    <t>Move Layouts</t>
  </si>
  <si>
    <t>Check able to move Layouts to other folder</t>
  </si>
  <si>
    <t>1. Launch JioSignage (https://digitalsignage.jio.com/users/sign_in) in browser.
2. Login with valid credential.
3. Select Layouts page from home screen via path : Dashboard &gt; Content Management &gt; Layouts.
4. Mouse hover to content management&gt;Click in Layout
5. Observe Layouts home screen.
6. Select any Layouts &gt; more options &gt; select Move Layouts option.
7. Observe the select folder name pop up screen.
8. select the folder where Layouts needs to be moved.
9. click on move &gt; observe.</t>
  </si>
  <si>
    <t>&gt;Layouts  was successfully Moved message should be verified on screen.
&gt;Moved Layouts should be verified at destination folder.</t>
  </si>
  <si>
    <t>test_verify_More_MoveContent_Function</t>
  </si>
  <si>
    <t xml:space="preserve">Check move Layouts to trash </t>
  </si>
  <si>
    <t>1. Launch JioSignage (https://digitalsignage.jio.com/users/sign_in) in browser.
2. Login with valid credential.
3. Select Layouts page from home screen via path : Dashboard &gt; Content Management &gt; Layouts.
4. Mouse hover to content management&gt;Click On Layout
5. Observe Layouts home screen.
6. Select any Layouts &gt; more options &gt; select Move to trash option.
7. Observe the trash pop up 'Are you sure want to move the selected Layouts to trash?' with cancel and ok options.
8. select Ok option &gt; observe.</t>
  </si>
  <si>
    <t>&gt;'Layouts moved to trash' message should be observed and selected Layouts should be moved to trash
&gt; if user select cancel option then it should not move Layouts to trash and pop up should be discarded.</t>
  </si>
  <si>
    <t>test_verify_More_MoveToTrash_Function</t>
  </si>
  <si>
    <t>Check copy Layouts to shared folder</t>
  </si>
  <si>
    <t>1. Launch JioSignage (https://digitalsignage.jio.com/users/sign_in) in browser.
2. Login with valid credential.
3. Select Layouts page from home screen via path : Dashboard &gt; Content Management &gt; Layouts.
4. Mouse hover to content management&gt;Click On Layout
5. Observe Layouts home screen.
6. Select any Layouts &gt; more options &gt; select copy to shared.
7. Observe the pop up 'Are you sure want to copy the selected Layouts to shared folder' with cancel and ok options.
8. select Ok option &gt; observe.</t>
  </si>
  <si>
    <t>&gt;'Layouts copied to shared folder successfully' message should be observed and selected Layouts should be available in shared folder.
&gt; if user select cancel option then it should not copied and pop up should be discarded.</t>
  </si>
  <si>
    <t>test_verify_More_CopyToShared_Function</t>
  </si>
  <si>
    <t>Shared folder</t>
  </si>
  <si>
    <t>Delete Layout</t>
  </si>
  <si>
    <t>Check if able to delete the Layout from shared folder</t>
  </si>
  <si>
    <t>1. Launch JioSignage (https://digitalsignage.jio.com/users/sign_in) in browser.
2. Login with valid credential.
3. Click on Content management
4. Click on layout
5. Observe the Layout home screen.
6. click on shared Layout.
7. select the Layout &gt; more option &gt; select delete option.
8. Confirm the delete &gt; observe</t>
  </si>
  <si>
    <t>Selected Layout should be removed from the shared folder.</t>
  </si>
  <si>
    <t>test_verify_RemoveFromSharedFolder</t>
  </si>
  <si>
    <t>Add Tag</t>
  </si>
  <si>
    <t>Check add tag to Layout option</t>
  </si>
  <si>
    <t>1. Launch JioSignage (https://digitalsignage.jio.com/users/sign_in) in browser.
2. Login with valid credential.
3. Click on Content management
4. Click on layout
5. Select any Layout &gt; more options &gt; select add tag option.
6. Observe the add tag pop up.
7. Select radio button 
8. Add new tag
9. Enter tag name
10. Click on Add</t>
  </si>
  <si>
    <t xml:space="preserve">&gt;Add tag pop up with Add new tag and Select tag options should be observed.
&gt;User should able to select between the add new tag and select tag options.
</t>
  </si>
  <si>
    <t>test_verify_More_Add_Tag_RadioBtn</t>
  </si>
  <si>
    <t>Add tag</t>
  </si>
  <si>
    <t>add new tag</t>
  </si>
  <si>
    <t>Check add new tag option behavior</t>
  </si>
  <si>
    <t>1. Launch JioSignage (https://digitalsignage.jio.com/users/sign_in) in browser.
2. Login with valid credential.
3. Click on Content management
4. Click on layout
5. Select any Layout &gt; more options &gt; select add tag option.
6. select add new tag option from the add tag pop up.
7. Enter the name of Tag want to add.
8. click on add option &gt; observe.</t>
  </si>
  <si>
    <t>&gt; Tag name should allow only Numbers , letters and _.
&gt;after adding the tag to Layout it should be observed in tag column of the respective Layout.</t>
  </si>
  <si>
    <t>test_verify_More_Add_New_Tag</t>
  </si>
  <si>
    <t xml:space="preserve">select tag </t>
  </si>
  <si>
    <t>Check select tag from existing list for the Layout</t>
  </si>
  <si>
    <t>1. Launch JioSignage (https://digitalsignage.jio.com/users/sign_in) in browser.
2. Login with valid credential.
3. Click on Content management
4. Click on layout
5. Select any Layout &gt; more options &gt; select add tag option.
6. select tag option from the add tag pop up.
7. choose the tag from the dropdown option to choose tag.
8. click on add &gt; observe.</t>
  </si>
  <si>
    <t>Selected tag should be added to respective Layout.</t>
  </si>
  <si>
    <t>test_verify_More_Add_Existing_Tag</t>
  </si>
  <si>
    <t>Add Multiple tags</t>
  </si>
  <si>
    <t>Check if able to add more than one tag to Layout</t>
  </si>
  <si>
    <t>1. Launch JioSignage (https://digitalsignage.jio.com/users/sign_in) in browser.
2. Login with valid credential.
3. Click on Content management
4. Click on layout
5. Select any Layout &gt; more options &gt; add tag &gt; add tag 1 e.g.. New1 
6. Again add tag 2 to same Layout e.g.. New 2. 
7. Check tags on Layout list page .</t>
  </si>
  <si>
    <t>Both added tags should be observed on tag section of the respective Layout.</t>
  </si>
  <si>
    <t>test_verify_More_Add_New_Tag_2Tags</t>
  </si>
  <si>
    <t>Remove tag</t>
  </si>
  <si>
    <t>Check removal of tag from the Layout</t>
  </si>
  <si>
    <t>1. Launch JioSignage (https://digitalsignage.jio.com/users/sign_in) in browser.
2. Login with valid credential.
3. Click on Content management
4. Click on layout
5. Select any Layout &gt; more options &gt; remove tag.
6. Select the tag from the remove tag pop up&gt; remove.
7. Observe the Layout list screen.</t>
  </si>
  <si>
    <t>Removed tag should not be observed on the tag list screen.</t>
  </si>
  <si>
    <t>test_verify_More_Remove_New_Tag</t>
  </si>
  <si>
    <t>Multiselecting Tags</t>
  </si>
  <si>
    <t>Check if able to select multiple tags while selecting or removing it from for the Layout</t>
  </si>
  <si>
    <t>1. Launch JioSignage (https://digitalsignage.jio.com/users/sign_in) in browser.
2. Login with valid credential.
3. Click on Content management
4. Click on layout
5. Select any Layout  &gt; more options &gt;Select add custom tag/Remove tag.
6. Select the dropdown menu to add /remove the tag.
7. Check if able to select more than one tags from the menu.</t>
  </si>
  <si>
    <t>&gt; user should able to select the multiple tags from the dropdown to  add or remove for the Layout.
So user do not have to repeat the steps each time for add or removal of tags for the same Layout.</t>
  </si>
  <si>
    <t>test_verify_More_Remove_Tag_2Tags</t>
  </si>
  <si>
    <t>Add folder</t>
  </si>
  <si>
    <t>create new folder</t>
  </si>
  <si>
    <t>Check add new folder option behavior</t>
  </si>
  <si>
    <t>1. Launch JioSignage (https://digitalsignage.jio.com/users/sign_in) in browser.
2. Login with valid credential.
3. Click on Content management
4. Click on layout
5. Click on Add folder(+) icon &gt;observe the pop up.
6. Enter the folder name &gt;click on add &gt; observe.</t>
  </si>
  <si>
    <t>New folder should be created with entered name consist of Numbers , letters and _ only.
&gt;It should not allow user to create folder with special characters , symbols.</t>
  </si>
  <si>
    <t>test_Content_CreateFolder_WarnMsg_SpecialCharacter</t>
  </si>
  <si>
    <t>Create Layout</t>
  </si>
  <si>
    <t>Root folder</t>
  </si>
  <si>
    <t>Check able to create Layout in Root folder</t>
  </si>
  <si>
    <t>1. Launch JioSignage (https://digitalsignage.jio.com/users/sign_in) in browser.
2. Login with valid credential.
3. Click on Content management
4. Click on layout &gt; select root folder &gt; click on Add new layout(+) icon.
5. Enter any layout name
6. Select the radio button like Horizontal/Vertical and Select the Resolution
7. Select any template like Blank/A template for playing video/template for splitting the screen
8. Click on Add</t>
  </si>
  <si>
    <t>User should able to create Layout in root folder.</t>
  </si>
  <si>
    <t>test_addNewContent_InRootFolder</t>
  </si>
  <si>
    <t>Created folder</t>
  </si>
  <si>
    <t>Check able to create Layout in Created folder</t>
  </si>
  <si>
    <t>1. Launch JioSignage (https://digitalsignage.jio.com/users/sign_in) in browser.
2. Login with valid credential.
3. Click on Content management
4. Click on layout option &gt; select root folder &gt; select other folder name from drop down list 
--or create new folder then select from the dropdown list.
5. Click on Add new layout(+) icon
6. Enter any layout name
7. Select the radio button like Horizontal/Vertical and Select the Resolution
8. Select any template like Blank/A template for playing video/template for splitting the screen
9. Click on Add</t>
  </si>
  <si>
    <t xml:space="preserve">&gt;&gt; User should be able to create new Layout in selected folder ,
&gt;&gt; It should not create new Layout in root folder </t>
  </si>
  <si>
    <t>test_addNewContent_InCreatedFolder</t>
  </si>
  <si>
    <t>Trashed</t>
  </si>
  <si>
    <t>Search Layout</t>
  </si>
  <si>
    <t>Check if able to search the Layout form trashed folder</t>
  </si>
  <si>
    <t>1. Launch JioSignage (https://digitalsignage.jio.com/users/sign_in) in browser.
2. Login with valid credential.
3. Click on Content management
4. Click on layout
5. select trashed folder &gt; click on search option.
6. Search the Layout by name.
7. observe.</t>
  </si>
  <si>
    <t>&gt;it should show the available results only from the trashed folder.</t>
  </si>
  <si>
    <t>test_SearchContentInTrashFolder</t>
  </si>
  <si>
    <t>Preview of the Layout</t>
  </si>
  <si>
    <t>Check the preview of the trashed Layout</t>
  </si>
  <si>
    <t>1. Launch JioSignage (https://digitalsignage.jio.com/users/sign_in) in browser.
2. Login with valid credential.
3. Click on Content management
4. Click on layout
5. select trashed folder &gt; select the checkbox of any Layout  &gt; click on the preview icon from the selected Layout.
6. Observe.</t>
  </si>
  <si>
    <t>&gt; User should be able to see the preview of the trashed Layout.</t>
  </si>
  <si>
    <t>test_TrashFolder_ClickOnPreviewFromActions</t>
  </si>
  <si>
    <t>Restore</t>
  </si>
  <si>
    <t>Check the restore trashed Layout</t>
  </si>
  <si>
    <t>1. Launch JioSignage (https://digitalsignage.jio.com/users/sign_in) in browser.
2. Login with valid credential.
3. Click on Content management
4. Click on layout
5. select trashed folder &gt; select checkbox of any Layout  &gt; click on more options (actions/3 dots).
6. select restore option.
7. click on Ok button from restore confirmation pop up.
8. Observe the behavior.</t>
  </si>
  <si>
    <t>&gt; Selected Layout should be restore to its previous location.
&gt;Restore Layout should not be observed in Trashed folder.</t>
  </si>
  <si>
    <t>test_RestoreContentFromTrashFolder</t>
  </si>
  <si>
    <t>Delete Completely</t>
  </si>
  <si>
    <t xml:space="preserve">Check delete the trashed Layout Completely </t>
  </si>
  <si>
    <t>1. Launch JioSignage (https://digitalsignage.jio.com/users/sign_in) in browser.
2. Login with valid credential.
3. Click on Content management
4. Click on layout
5. select trashed folder &gt; select any Layout  &gt; click on more options (actions/3 dots).
6. select Delete Completely option.
7. click on Ok button from delete completely confirmation pop up.
8. Observe the behavior.</t>
  </si>
  <si>
    <t>&gt; Selected Layout should be deleted completely.
&gt;Restore Layout should not be observed in Trashed folder.</t>
  </si>
  <si>
    <t>test_DeleteCompletelyContentFromTrashFolder</t>
  </si>
  <si>
    <t>Edit Layout</t>
  </si>
  <si>
    <t>Edit new Layout</t>
  </si>
  <si>
    <t>Check edit Layout screen for new created Layout</t>
  </si>
  <si>
    <t>1. Launch JioSignage (https://digitalsignage.jio.com/users/sign_in) in browser.
2. Login with valid credential.
3. Click on Content management
4. Click on Layouts option
5. Click on add new Layout option &gt; enter the Layout name &gt; Select Orientation and Resolution&gt;select template &gt; click on add option.
6. Observe.</t>
  </si>
  <si>
    <t>&gt;Edit Layout screen should be observed with one default blank slide added.</t>
  </si>
  <si>
    <t>test_editContent_BlankSlide</t>
  </si>
  <si>
    <t>Edit existing Layout</t>
  </si>
  <si>
    <t>Check edit Layout screen for Existing Layout</t>
  </si>
  <si>
    <t>1. Launch JioSignage (https://digitalsignage.jio.com/users/sign_in) in browser.
2. Login with valid credential.
3. Click on Content management
4. Click on Layouts option
5. click on any existing Layout name.
6. Observe the edit screen of selected Layout.</t>
  </si>
  <si>
    <t>&gt;Edit screen of existing Layout should be observed with ,
the number of slides , data filled , format it consist.
&gt;user should able to modify and save the existing Layout from the edit screen.</t>
  </si>
  <si>
    <t>test_editContent_ExistingContent</t>
  </si>
  <si>
    <t>Shared folder access</t>
  </si>
  <si>
    <t>Check able to access the Shared Folder from the edit screen</t>
  </si>
  <si>
    <t>1. Launch JioSignage (https://digitalsignage.jio.com/users/sign_in) in browser.
2. Login with valid credential.
3. Click on Add new layout(+) icon
4. Enter any layout name
5. Select the radio button like Horizontal/Vertical and Select the Resolution
6. Select any template like Blank/A template for playing video/template for splitting the screen
7. Click on Add
8. Click on Edit
9. Click on Shared Folder</t>
  </si>
  <si>
    <t>&gt; by click on Shared folder it should show the all materials available in shared folder.</t>
  </si>
  <si>
    <t>test_editContent_SharedFolder</t>
  </si>
  <si>
    <t>Check able to copy the materials to shared folder from edit Layout screen</t>
  </si>
  <si>
    <t>1. Launch JioSignage (https://digitalsignage.jio.com/users/sign_in) in browser.
2. Login with valid credential.
3. Click on Add new layout(+) icon
4. Enter any layout name
5. Select the radio button like Horizontal/Vertical and Select the Resolution
6. Select any template like Blank/A template for playinng video/template for splitting the screen
7. Click on Add
8. Click on Edit
9. select head folder.
10. Observe the category options.
11. click on images &gt; observe the file &gt; select dropdown icon from the folder.
12. select Copy to shared folder option &gt; 
13. click on shared folder option &gt; observe.</t>
  </si>
  <si>
    <t>&gt;Selected file should be observed in shared folder.
&gt;If user select the shared folder from other menu e.g. Materials then it should show the all files shared to folder.</t>
  </si>
  <si>
    <t>Preview option</t>
  </si>
  <si>
    <t>Check the Preview option of edit Layout page</t>
  </si>
  <si>
    <t>1. Launch JioSignage (https://digitalsignage.jio.com/users/sign_in) in browser.
2. Login with valid credential.
3. Click on Content management
4. Click on Layouts option
5. Click on Add new layout(+) icon
6. Enter any layout name
7. Select the radio button like Horizontal/Vertical and Select the Resolution
8. Select any template like Blank/A template for playing video/template for splitting the screen
9. Click on Add
10. Click on Edit
11. Click on the preview option from the page.
12. Observe the preview screen.</t>
  </si>
  <si>
    <t>&gt;by click on preview option , Layout preview screen titled as Layout name should be observed.
&gt;User should able to view the Layout preview.</t>
  </si>
  <si>
    <t>test_editContentPage_PreviewOption</t>
  </si>
  <si>
    <t>Save option</t>
  </si>
  <si>
    <t>Check the save option behavior of edit Layout page</t>
  </si>
  <si>
    <t>1. Launch JioSignage (https://digitalsignage.jio.com/users/sign_in) in browser.
2. Login with valid credential.
3. Click on Content management&gt;&gt;Click on Layout
4. Click on Add new layout(+) icon
5. Enter any layout name
6. Select the radio button like Horizontal/Vertical and Select the Resolution
7. Select any template like Blank/A template for playing video/template for splitting the screen
8. Click on Add
9. Click on Edit
10. Observe edit Layout screen.
11. Observe the save option.
12. drag and drop any file to slide 
11. observe the save option behavior.</t>
  </si>
  <si>
    <t>&gt;Save option should be greyed out when there's no change or modification in Layout has been done.
&gt;After modify the Layout user should able to save the Layout by click on the save option.</t>
  </si>
  <si>
    <t>test_editContent_SaveButton</t>
  </si>
  <si>
    <t xml:space="preserve">Check close button behavior </t>
  </si>
  <si>
    <t>1. Launch JioSignage (https://digitalsignage.jio.com/users/sign_in) in browser.
2. Login with valid credential.
3. Click on Content management&gt;&gt;Click on Layout
4. Click on Add new layout(+) icon
5. Enter any layout name
6. Select the radio button like Horizontal/Vertical and Select the Resolution
7. Select any template like Blank/A template for playing video/template for splitting the screen
8. Click on Add
9. Click on Edit
10. Observe edit Layout screen.
11. Observe the close button.
12. click on close button.
13. Observe the behavior.</t>
  </si>
  <si>
    <t>&gt; should redirects to the previous page e.g.. Layout list screen.</t>
  </si>
  <si>
    <t>test_editContent_CloseButton</t>
  </si>
  <si>
    <t>Add slides</t>
  </si>
  <si>
    <t>Check add slides option behavior</t>
  </si>
  <si>
    <t>1. Launch JioSignage (https://digitalsignage.jio.com/users/sign_in) in browser.
2. Login with valid credential.
3. Click on Content management&gt;&gt;Click on Layout
4. Click on Add new layout(+) icon
5. Enter any layout name
6. Select the radio button like Horizontal/Vertical and Select the Resolution
7. Select any template like Blank/A template for playing video/template for splitting the screen
8. Click on Add
9. Click on Edit
10. Observe edit Layout screen.
11. observe the slide &gt; click on add slides button.
12. keep click on the add slide option till maximum limit reached.</t>
  </si>
  <si>
    <t>&gt;by click on add new slide option it should add the new blank slide in a row.
&gt; it should allow to add maximum 20 slides.
&gt; when add 20 slide it should disable the add slide option and user should not able to add more slide.</t>
  </si>
  <si>
    <t>delete slides</t>
  </si>
  <si>
    <t>Check delete slides from the edit Layout screen</t>
  </si>
  <si>
    <t>1. Launch JioSignage (https://digitalsignage.jio.com/users/sign_in) in browser.
2. Login with valid credential.
3. Click on Content management&gt;&gt;Click on Layout
4. Click on Add new layout(+) icon
5. Enter any layout name
6. Select the radio button like Horizontal/Vertical and Select the Resolution
7. Select any template like Blank/A template for playing video/template for splitting the screen
8. Click on Add
9. Click on Edit
10. Observe edit Layout screen.
11. observe the slides &gt; select delete option from the slide.
12. confirm the delete option from the pop up.
13. observe.</t>
  </si>
  <si>
    <t>&gt; selected slide should be deleted from the screen.
&gt;User should able to add the slide , save the same Layout.</t>
  </si>
  <si>
    <t>Check copy the slide from the edit Layout screen</t>
  </si>
  <si>
    <t>1. Launch JioSignage (https://digitalsignage.jio.com/users/sign_in) in browser.
2. Login with valid credential.
3. Click on Content management&gt;&gt;Click on Layout
4. Click on Add new layout(+) icon
5. Enter any layout name
6. Select the radio button like Horizontal/Vertical and Select the Resolution
7. Select any template like Blank/A template for playing video/template for splitting the screen
8. Click on Add
9. Click on Edit
10. Observe edit Layout screen.
11. observe the slides &gt; select copy option from the slide.
12. observe.</t>
  </si>
  <si>
    <t>&gt;By click on copy slide option , new slide should be added containing the source slide data , format..
&gt;after 20 slides copy option should be disabled as user should not able to add more than 20 slides.</t>
  </si>
  <si>
    <t>Swap slides</t>
  </si>
  <si>
    <t>Check able to swap the slides on edit slides screen</t>
  </si>
  <si>
    <t>1. Launch JioSignage (https://digitalsignage.jio.com/users/sign_in) in browser.
2. Login with valid credential.
3. Click on Content management&gt;&gt;Click on Layout
4. Click on Add new layout(+) icon
5. Enter any layout name
6. Select the radio button like Horizontal/Vertical and Select the Resolution
7. Select any template like Blank/A template for playinng video/template for splitting the screen
8. Click on Add
9. Click on Edit
10. Observe edit Layout screen.
11. Add multiple slides e.g. &gt; 3. 
12.  Hover the curser on slide.
13. Observe the navigation button on slides.
14. Click on the swapping button &gt; observe.</t>
  </si>
  <si>
    <t>&gt; By click on swap button slides position should be changed accordingly.</t>
  </si>
  <si>
    <t>Layout screen time</t>
  </si>
  <si>
    <t>Check the Layout play time status on edit screen</t>
  </si>
  <si>
    <t>1. Launch JioSignage (https://digitalsignage.jio.com/users/sign_in) in browser.
2. Login with valid credential.
3. Click on Content management&gt;&gt;Click on Layout
4. Click on Add new layout(+) icon
5. Enter any layout name
6. Select the radio button like Horizontal/Vertical and Select the Resolution
7. Select any template like Blank/A template for playing video/template for splitting the screen
8. Click on Add
9. Click on Edit
10. Observe edit Layout screen.
11. Observe the Layout play time on right top corner e.g.. 00:10. 
12. add more slides &gt; observe the play time status.</t>
  </si>
  <si>
    <t>&gt;Layout total play time status should be observed on the edit Layout screen.
&gt;By adding more sides or changing the slide refresh rate it should be change and updated on screen accordingly.</t>
  </si>
  <si>
    <t>test_editContent_PlayTime</t>
  </si>
  <si>
    <t>Add audio</t>
  </si>
  <si>
    <t>Check drag and drop audio to Layout</t>
  </si>
  <si>
    <t>1. Launch JioSignage (https://digitalsignage.jio.com/users/sign_in) in browser.
2. Login with valid credential.
3. Click on Content management&gt;&gt;Click on Layout
4. Click on Add new layout(+) icon
5. Enter any layout name
6. Select the radio button like Horizontal/Vertical and Select the Resolution
7. Select any template like Blank/A template for playinng video/template for splitting the screen
8. Click on Add
9. Click on Edit
10. Observe edit Layout screen.
11. Drag audio file from the materials and drop it to audio box.
12. Click on the preview button.
13. Observe.</t>
  </si>
  <si>
    <t xml:space="preserve">&gt; Selected audio file should be observed on audio box  with name.
</t>
  </si>
  <si>
    <t>Audio Checkbox</t>
  </si>
  <si>
    <t>Check the audio checkbox option</t>
  </si>
  <si>
    <t>1. Launch JioSignage (https://digitalsignage.jio.com/users/sign_in) in browser.
2. Login with valid credential.
3. Click on Content management&gt;&gt;Click on Layout
4. Click on Add new layout(+) icon
5. Enter any layout name
6. Select the radio button like Horizontal/Vertical and Select the Resolution
7. Select any template like Blank/A template for playinng video/template for splitting the screen
8. Click on Add
9. Click on Edit
10. Observe edit Layout screen.
11. Drop audio file to audio box.
12. Observe the checkbox option 'Always starts to play Layout from the beginning.'</t>
  </si>
  <si>
    <t>TBD</t>
  </si>
  <si>
    <t>Edit Slide</t>
  </si>
  <si>
    <t>Edit slide option</t>
  </si>
  <si>
    <t>Check Edit Slide option behavior</t>
  </si>
  <si>
    <t xml:space="preserve">1. Launch JioSignage (https://digitalsignage.jio.com/users/sign_in) in browser.
2. Login with valid credential.
3. Click on Content management&gt;&gt;Click on Layout
4. Click on Add new layout(+) icon
5. Enter any layout name
6. Select the radio button like Horizontal/Vertical and Select the Resolution
7. Select any template like Blank/A template for playing video/template for splitting the screen
8. Click on Add
9. Click on Edit
10. Observe edit Layout screen.
11. Select the Edit option from the slide and click on it.
12. Observe </t>
  </si>
  <si>
    <t>&gt; by click on edit option of slide it should open the edit slide screen of selected slide.</t>
  </si>
  <si>
    <t>test_editContent_EditBtn</t>
  </si>
  <si>
    <t>TC80</t>
  </si>
  <si>
    <t>header options</t>
  </si>
  <si>
    <t>Check header options for Edit slide screen.</t>
  </si>
  <si>
    <t>1. Launch JioSignage (https://digitalsignage.jio.com/users/sign_in) in browser.
2. Login with valid credential.
3. Click on Content management&gt;&gt;Click on Layout
4. Click on Add new layout(+) icon
5. Enter any layout name
6. Select the radio button like Horizontal/Vertical and Select the Resolution
7. Select any template like Blank/A template for playing video/template for splitting the screen
8. Click on Add
9. Click on Edit
10. Observe edit Layout screen.
11. Observe the header options for edit slide screen.</t>
  </si>
  <si>
    <t>&gt;Preview , Save ,back and close options should be observed on the edit slide home screen.</t>
  </si>
  <si>
    <t>test_editContent_Preview_Save_Back_Close_Btn</t>
  </si>
  <si>
    <t>TC81</t>
  </si>
  <si>
    <t>Back option</t>
  </si>
  <si>
    <t>Check Back option behavior from the Edit slide screen</t>
  </si>
  <si>
    <t>1. Launch JioSignage (https://digitalsignage.jio.com/users/sign_in) in browser.
2. Login with valid credential.
3. Click on Content management&gt;&gt;Click on Layout
4. Click on Add new layout(+) icon
5. Enter any layout name
6. Select the radio button like Horizontal/Vertical and Select the Resolution
7. Select any template like Blank/A template for playing video/template for splitting the screen
8. Click on Add
9. Click on Edit
10. Observe edit Layout screen.
11. Open Edit slide screen &gt; click on Back button from the edit slide screen.
12. Observe.</t>
  </si>
  <si>
    <t>&gt; By click on Back button it should navigate back to the Edit Layout screen.
&gt; if any changes has been done in slide then it should show the Request approval Pop up message.
Else for no change has been done in the Layout then it should not ask for the re-Approval of the Layout.</t>
  </si>
  <si>
    <t>test_editContent_BackBtn</t>
  </si>
  <si>
    <t>TC82</t>
  </si>
  <si>
    <t>Save Slide</t>
  </si>
  <si>
    <t>Check able to save the changes in slide</t>
  </si>
  <si>
    <t>1. Launch JioSignage (https://digitalsignage.jio.com/users/sign_in) in browser.
2. Login with valid credential.
3. Click on Content management&gt;&gt;Click on Layout
4. Click on Add new layout(+) icon
5. Enter any layout name
6. Select the radio button like Horizontal/Vertical and Select the Resolution
7. Select any template like Blank/A template for playing video/template for splitting the screen
8. Click on Add
9. Click on Edit
10. Observe the Edit Layout screen.
11. Open Edit slide screen &gt; Modify the slide &gt; click on Save button from the edit slide screen.
12. Observe.</t>
  </si>
  <si>
    <t>&gt;By click on save option it should save the Layout with modified slide.</t>
  </si>
  <si>
    <t>test_editContent_SaveButton_withChanges</t>
  </si>
  <si>
    <t>TC83</t>
  </si>
  <si>
    <t>Preview Slide</t>
  </si>
  <si>
    <t>Check able to view the preview of the slide</t>
  </si>
  <si>
    <t>1. Launch JioSignage (https://digitalsignage.jio.com/users/sign_in) in browser.
2. Login with valid credential.
3. Click on Content management&gt;&gt;Click on Layout
4. Click on Add new layout(+) icon
5. Enter any layout name
6. Select the radio button like Horizontal/Vertical and Select the Resolution
7. Select any template like Blank/A template for playing video/template for splitting the screen
8. Click on Add
9. Click on Edit
10. Observe the Edit Layout screen.
11. Open Edit slide screen &gt; click on Preview button from the edit slide screen.
12. Observe.</t>
  </si>
  <si>
    <t>&gt;Preview of the selected slide should be observed.</t>
  </si>
  <si>
    <t>test_editSlidePage_PreviewOption</t>
  </si>
  <si>
    <t>TC84</t>
  </si>
  <si>
    <t>Check close button behavior from the edit slide screen</t>
  </si>
  <si>
    <t>1. Launch JioSignage  Sign In Page : https://digitalsignage.jio.com/users/sign_in .
2. Login with valid credential
3.  Go to layout &gt; open layout &gt;click on  edit Layout screen.
4. Observe the Edit Layout screen.
5. Open Edit slide screen &gt; click on Preview button from the edit slide screen.
6. Click on close button 
7. Observe.</t>
  </si>
  <si>
    <t>&gt;User should able to close the edit slide page</t>
  </si>
  <si>
    <t>test_editSlidePage_CloseBtn</t>
  </si>
  <si>
    <t>TC85</t>
  </si>
  <si>
    <t>Drag from folder</t>
  </si>
  <si>
    <t>Check drag and drop material from Folder to Slide screen</t>
  </si>
  <si>
    <t>1. Launch JioSignage (https://digitalsignage.jio.com/users/sign_in) in browser.
2. Login with valid credential.
3. Click on Content management&gt;&gt;Click on Layout
4. Click on Add new layout(+) icon
5. Enter any layout name
6. Select the radio button like Horizontal/Vertical and Select the Resolution
7. Select any template like Blank/A template for playinng video/template for splitting the screen
8. Click on Add
9. Click on Edit
10. Observe the Edit Layout screen.
11. select the material e.g. image file from folder &gt; drag it and drop to the edit slide screen.
12. Observe the behavior.</t>
  </si>
  <si>
    <t>Image should be dragged and copied to the slide and should be visible in slide window</t>
  </si>
  <si>
    <t>TC86</t>
  </si>
  <si>
    <t>Edit slide menu</t>
  </si>
  <si>
    <t>Check Edit slide menu options</t>
  </si>
  <si>
    <t>1. Launch JioSignage (https://digitalsignage.jio.com/users/sign_in) in browser.
2. Login with valid credential.
3. Click on Content management&gt;&gt;Click on Layout
4. Click on Add new layout(+) icon
5. Enter any layout name
6. Select the radio button like Horizontal/Vertical and Select the Resolution
7. Select any template like Blank/A template for playinng video/template for splitting the screen
8. Click on Add
9. Click on Edit
10. Observe the Edit Layout screen.
11. Observe the right side screen menu.
12. Click on the down arrow key icon &gt; observe.</t>
  </si>
  <si>
    <t>&gt; Object and entire screen option should be observed on right side of the screen.
&gt;below that following options should be observed.
Entire Screen , Background , Add object , Action , Auto tap.
and same menu options should be accessible from the down arrow key icon dropdown.</t>
  </si>
  <si>
    <t>TC87</t>
  </si>
  <si>
    <t>Add Object</t>
  </si>
  <si>
    <t>Check Add Object option behavior</t>
  </si>
  <si>
    <t>1. Launch JioSignage (https://digitalsignage.jio.com/users/sign_in) in browser.
2. Login with valid credential.
3. Click on Content management&gt;&gt;Click on Layout
4. Click on Add new layout(+) icon
5. Enter any layout name
6. Select the radio button like Horizontal/Vertical and Select the Resolution
7. Select any template like Blank/A template for playing video/template for splitting the screen
8. Click on Add
9. Click on Edit
10. Observe the Edit Layout screen.
11. Click on add +Object option.
12. Hover the cursor on objects&gt; observe.</t>
  </si>
  <si>
    <t>&gt;By click on Object option , it should open the Object menu panel with 19 Objects.
&gt; User should able to view the tool tip for respective icons.</t>
  </si>
  <si>
    <t>test_editSlidePage_AddObject</t>
  </si>
  <si>
    <t>TC88</t>
  </si>
  <si>
    <t>Object</t>
  </si>
  <si>
    <t>Add text</t>
  </si>
  <si>
    <t>Check if able to add text object to slide</t>
  </si>
  <si>
    <t>1. Launch JioSignage (https://digitalsignage.jio.com/users/sign_in) in browser.
2. Login with valid credential.
3. Click on Content management&gt;&gt;Click on Layout
4. Click on Add new layout(+) icon
5. Enter any layout name
6. Select the radio button like Horizontal/Vertical and Select the Resolution
7. Select any template like Blank/A template for playing video/template for splitting the screen
8. Click on Add
9. Click on Edit
10. Observe the Edit Layout screen.
11. Click on Add object option.
12. Select Text object &gt; observe.</t>
  </si>
  <si>
    <t>&gt; User should able to add text Object to slide .
&gt;User should able to edit the text format as per the sub feature options of the Object.
&gt;Preview of the Layout should  be observed with selected object.</t>
  </si>
  <si>
    <t>test_editSlidePage_AddObject_AddText</t>
  </si>
  <si>
    <t>TC89</t>
  </si>
  <si>
    <t>Modify Edit box</t>
  </si>
  <si>
    <t xml:space="preserve">Check if able to modify the Object box </t>
  </si>
  <si>
    <t>1. Launch JioSignage (https://digitalsignage.jio.com/users/sign_in) in browser.
2. Login with valid credential.
3. Click on Content management&gt;&gt;Click on Layout
4. Click on Add new layout(+) icon
5. Enter any layout name
6. Select the radio button like Horizontal/Vertical and Select the Resolution
7. Select any template like Blank/A template for playinng video/template for splitting the screen
8. Click on Add
9. Click on Edit
10. Observe the Edit Layout screen.
11. Click on Add object option.
12. Select Text object &gt; observe.
13. Modify the text object sides by drag it across the slide.</t>
  </si>
  <si>
    <t>&gt;user should able to modify the size of the Object by drag the border or Corner of it.</t>
  </si>
  <si>
    <t>TC90</t>
  </si>
  <si>
    <t>Delete Object</t>
  </si>
  <si>
    <t>Check if able to delete the Object from the slide</t>
  </si>
  <si>
    <t>1. Launch JioSignage (https://digitalsignage.jio.com/users/sign_in) in browser.
2. Login with valid credential.
3. Click on Content management&gt;&gt;Click on Layout
4. Click on Add new layout(+) icon
5. Enter any layout name
6. Select the radio button like Horizontal/Vertical and Select the Resolution
7. Select any template like Blank/A template for playing video/template for splitting the screen
8. Click on Add
9. Click on Edit
10. Observe the Edit Layout screen.
11. Click on Add object option.
12. Select image object &gt; observe the object box on slide.
13. click on delete option from side menu screen.
14. Observe.</t>
  </si>
  <si>
    <t>&gt;Object should be deleted from the slide if click on the delete option.
and user should able to add the same object again by re-select it.</t>
  </si>
  <si>
    <t>test_editSlidePage_DeleteAddedObject</t>
  </si>
  <si>
    <t>TC91</t>
  </si>
  <si>
    <t>Copy Object</t>
  </si>
  <si>
    <t xml:space="preserve">Check able to create the copy of the object </t>
  </si>
  <si>
    <t>1. Launch JioSignage (https://digitalsignage.jio.com/users/sign_in) in browser.
2. Login with valid credential.
3. Click on Content management&gt;&gt;Click on Layout
4. Click on Add new layout(+) icon
5. Enter any layout name
6. Select the radio button like Horizontal/Vertical and Select the Resolution
7. Select any template like Blank/A template for playing video/template for splitting the screen
8. Click on Add
9. Click on Edit
10. Observe the Edit Layout screen.
11. Click on add object &gt; select any object e.g.. text.
12. Observe the text object on slide.
13. click on the copy icon available at Object name or before the delete icon.
14. Observe.</t>
  </si>
  <si>
    <t>&gt;Copy of the created Object should be observed on slide.
&gt;Copied Object should consist the same format and data of the original Layout.
&gt;Copied object should be added to slide without overlapping the main object.</t>
  </si>
  <si>
    <t>test_editSlidePage_CopyAddedObject</t>
  </si>
  <si>
    <t>TC92</t>
  </si>
  <si>
    <t>Add image</t>
  </si>
  <si>
    <t>Check if able to add Image object to slide</t>
  </si>
  <si>
    <t>1. Launch JioSignage (https://digitalsignage.jio.com/users/sign_in) in browser.
2. Login with valid credential.
3. Click on Content management&gt;&gt;Click on Layout
4. Click on Add new layout(+) icon
5. Enter any layout name
6. Select the radio button like Horizontal/Vertical and Select the Resolution
7. Select any template like Blank/template for splitting the screen
8. Click on Add
9. Click on Edit
10. Observe the Edit Layout screen
11. Click on Add object option.
12. Select image object &gt; observe.</t>
  </si>
  <si>
    <t>&gt; User should able to add image Object to slide .
&gt;User should able to edit the image as per the sub feature options of the Object. 
&gt;Preview of the Layout should  be observed with selected object.</t>
  </si>
  <si>
    <t>test_editSlidePage_AddObject_AddImage</t>
  </si>
  <si>
    <t>TC93</t>
  </si>
  <si>
    <t>Add Video</t>
  </si>
  <si>
    <t>Verify that user is able to delete video object</t>
  </si>
  <si>
    <t>1. Launch JioSignage  Sign In Page : https://digitalsignage.jio.com/users/sign_in .
2. Login with valid credential.
3.  Hover over Layout.
4.  Click on Layouts.
5.  Click on Add new Layout.
6.  Enter Layout Name.
7.  Select Orientation and Resolution
8.  Enter a template and click on Add.
9.  Go to edit Slide option.
10.  Click on add object option &gt; select Video.
11.   Add video object
12.   Click on Delete</t>
  </si>
  <si>
    <t>User should be able to delete video object</t>
  </si>
  <si>
    <t>test_editSlidePage_DeleteAddedObject_Video</t>
  </si>
  <si>
    <t>TC94</t>
  </si>
  <si>
    <t xml:space="preserve">Add Onscreen text </t>
  </si>
  <si>
    <t>Check if able to add Onscreen object to slide</t>
  </si>
  <si>
    <t>1. Launch JioSignage (https://digitalsignage.jio.com/users/sign_in) in browser.
2. Login with valid credential.
3. Click on Content management&gt;&gt;Click on Layout
4. Click on Add new layout(+) icon
5. Enter any layout name
6. Select the radio button like Horizontal/Vertical and Select the Resolution
7. Select any template like Blank/template for splitting the screen
8. Click on Add
9. Click on Edit
10. Observe the Edit Layout screen
11. Click on Add object option.
12. Select Onscreen text object &gt; observe.</t>
  </si>
  <si>
    <t>&gt; User should able to add Onscreen Object to slide .
&gt;User should able to edit the Onscreen text as per the sub feature options of the Object. 
&gt;Preview of the Layout should  be observed with selected object.</t>
  </si>
  <si>
    <t>test_editSlidePage_AddObject_AddOnscreenText</t>
  </si>
  <si>
    <t>TC95</t>
  </si>
  <si>
    <t>Add RSS feed</t>
  </si>
  <si>
    <t>Check if able to add RSS feed object to slide</t>
  </si>
  <si>
    <t>1. Launch JioSignage (https://digitalsignage.jio.com/users/sign_in) in browser.
2. Login with valid credential.
3. Click on Content management&gt;&gt;Click on Layout
4. Click on Add new layout(+) icon
5. Enter any layout name
6. Select the radio button like Horizontal/Vertical and Select the Resolution
7. Select any template like Blank/template for splitting the screen
8. Click on Add
9. Click on Edit
10. Observe the Edit Layout screen
11. Click on Add object option.
12. Select RSS feed object &gt; observe.</t>
  </si>
  <si>
    <t>&gt; User should able to add RSS feed Object to slide .
&gt;User should able to edit the RSS feed as per the sub feature options of the Object. 
&gt;Preview of the Layout should  be observed with selected object.</t>
  </si>
  <si>
    <t>test_editSlidePage_AddObject_AddRssFeed</t>
  </si>
  <si>
    <t>TC96</t>
  </si>
  <si>
    <t>Add YouTube</t>
  </si>
  <si>
    <t>Check if able to add YouTube object to slide</t>
  </si>
  <si>
    <t>1. Launch JioSignage (https://digitalsignage.jio.com/users/sign_in) in browser.
2. Login with valid credential.
3. Click on Content management&gt;&gt;Click on Layout
4. Click on Add new layout(+) icon
5. Enter any layout name
6. Select the radio button like Horizontal/Vertical and Select the Resolution
7. Select any template like Blank/template for splitting the screen
8. Click on Add
9. Click on Edit
10. Observe the Edit Layout screen
11. Click on Add object option.
12. Select YouTube object &gt; Copy an URL and paste the URL in URL field&gt;Click on Save</t>
  </si>
  <si>
    <t>&gt; User should able to add YouTube Object to slide .
&gt;User should able to edit the YouTube object as per the sub feature options of the Object. 
&gt;Preview of the Layout should  be observed with selected object.</t>
  </si>
  <si>
    <t>test_editSlidePage_AddObject_AddYoutube</t>
  </si>
  <si>
    <t>TC97</t>
  </si>
  <si>
    <t>Add Google</t>
  </si>
  <si>
    <t>Check if able to add Google object to slide</t>
  </si>
  <si>
    <t>1. Launch JioSignage (https://digitalsignage.jio.com/users/sign_in) in browser.
2. Login with valid credential.
3. Click on Content management&gt;&gt;Click on Layout
4. Click on Add new layout(+) icon
5. Enter any layout name
6. Select the radio button like Horizontal/Vertical and Select the Resolution
7. Select any template like Blank/A template for splitting the screen
8. Click on Add
9. Click on Edit
10. Observe the Edit Layout screen
11. Click on Add object option.
12. Select Google object &gt; Enter the embedded URL in URL field&gt;Click on Save</t>
  </si>
  <si>
    <t>&gt; User should able to add Google Object to slide .
&gt;User should able to edit the Google as per the sub feature options of the Object. 
&gt;User should able to preview the map and deliver google map to client display</t>
  </si>
  <si>
    <t>test_editSlidePage_AddObject_AddGoogle</t>
  </si>
  <si>
    <t>TC98</t>
  </si>
  <si>
    <t>Add Shape</t>
  </si>
  <si>
    <t>Check if able to add Shape object to slide</t>
  </si>
  <si>
    <t>1. Launch JioSignage (https://digitalsignage.jio.com/users/sign_in) in browser.
2. Login with valid credential.
3. Click on Content management&gt;&gt;Click on Layout
4. Click on Add new layout(+) icon
5. Enter any layout name
6. Select the radio button like Horizontal/Vertical and Select the Resolution
7. Select any template like Blank/A template for splitting the screen
8. Click on Add
9. Click on Edit
10. Observe the Edit Layout screen
11. Click on Add object option.
12. Select Shape object &gt; Click on any shape like Rectangular/square/circle
13. Click on Save&gt;Click on preview and deliver to client display&gt;Observe</t>
  </si>
  <si>
    <t>&gt; User should able to add shape Object to slide .
&gt;User should able to edit the shape as per the sub feature options of the Object. 
&gt;User should able to deliver the shape object to client display</t>
  </si>
  <si>
    <t>test_editSlidePage_AddObject_AddShape</t>
  </si>
  <si>
    <t>TC99</t>
  </si>
  <si>
    <t>Add JioSaavn</t>
  </si>
  <si>
    <t>Check if able to add JioSaavn object to slide</t>
  </si>
  <si>
    <t>1. Launch JioSignage  Sign In Page : https://digitalsignage.jio.com/users/sign_in .
2. Login with valid credential
3. Click on Content management&gt;&gt;Click on Layout
4. Click on Add new layout(+) icon
5. Enter any layout name
6. Select the radio button like Horizontal/Vertical and Select the Resolution
7. Select any template like Blank/A template for splitting the screen
8. Click on Add
9. Click on Edit
10. Observe the Edit Layout screen
11 Click on Add object option.
12. Select JioSaavn object &gt; observe.</t>
  </si>
  <si>
    <t>&gt; User should able to add JioSaavn Object to slide .
&gt;User should able to edit the JioSaavn as per the sub feature options of the Object. 
&gt;User should able to deliver the JioSaavn object to the client display</t>
  </si>
  <si>
    <t>test_editSlidePage_AddObject_AddJioSaavan</t>
  </si>
  <si>
    <t>TC100</t>
  </si>
  <si>
    <t>Add Instagram</t>
  </si>
  <si>
    <t>Check if able to add Instagram object to slide</t>
  </si>
  <si>
    <t>1. Launch JioSignage  Sign In Page : https://digitalsignage.jio.com/users/sign_in .
2. Login with valid credential
3. Click on Content management&gt;&gt;Click on Layout
4. Click on Add new layout(+) icon
5. Enter any layout name
6. Select the radio button like Horizontal/Vertical and Select the Resolution
7. Select any template like Blank/A template for splitting the screen
8. Click on Add
9. Click on Edit
10. Observe the Edit Layout screen
11 Click on Add object option.
12. Select Instagram object &gt; observe.</t>
  </si>
  <si>
    <t>&gt; User should able to add Instagram Object to slide .
&gt;User should able to edit the Instagram as per the sub feature options of the Object. 
&gt;User should able to deliver the Instagram content to client display</t>
  </si>
  <si>
    <t>test_editSlidePage_AddObject_AddInstagram</t>
  </si>
  <si>
    <t>TC101</t>
  </si>
  <si>
    <t>Entire screen</t>
  </si>
  <si>
    <t>Duration</t>
  </si>
  <si>
    <t>Check the duration option behavior for the slide</t>
  </si>
  <si>
    <t>1. Launch JioSignage (https://digitalsignage.jio.com/users/sign_in) in browser.
2. Login with valid credential.
3. Go to Layouts &gt; create layout &gt;Click on edit slide option.
4. Select entire screen option.
5. Observe  duration option.
6. Modify the duration using up and down icons &gt; observe.
7. modify the duration by click on it &gt; enter the custom sec &gt; observe.</t>
  </si>
  <si>
    <t>&gt;Default 10 Sec duration for the slide should be observed.
&gt;It should Increase/Decrease the seconds value by One seconds when modify it using icons.
&gt;It should set the custom entered seconds.
&gt;For Invalid entry it should show the Appropriate message.</t>
  </si>
  <si>
    <t>test_editContent_Duration_IncreaseDecrease</t>
  </si>
  <si>
    <t>TC102</t>
  </si>
  <si>
    <t>Fit to screen</t>
  </si>
  <si>
    <t>Check to fit to screen option from edit screen.</t>
  </si>
  <si>
    <t>1. Launch JioSignage (https://digitalsignage.jio.com/users/sign_in) in browser.
2. Login with valid credential.
3. Go to Layouts &gt; create layout &gt;Click on edit slide option.
4. Select entire screen option.
5. Observe  the fit to screen option.
6. Check (click) on the fit to screen option &gt; observe the slide preview.
7. Uncheck the fit to screen option &gt; observe the slide preview.</t>
  </si>
  <si>
    <t>TC103</t>
  </si>
  <si>
    <t>Transition effect</t>
  </si>
  <si>
    <t>Check the transition effect option behavior</t>
  </si>
  <si>
    <t>1. Launch JioSignage (https://digitalsignage.jio.com/users/sign_in) in browser.
2. Login with valid credential.
3. Go to Layouts &gt; create layout &gt;Click on edit slide option.
4. select entire screen option.
5. Observe the transition effect option.
6. click on the transition effect option &gt; observe.</t>
  </si>
  <si>
    <t>&gt;By Default 'None' option should be selected for transition effect.
by click on the transition effect Name box , List of the transitions should be observed.
&gt;if there is only Single slide available then Transition effect option should be disabled , No action should be observed when click on it.</t>
  </si>
  <si>
    <t>test_editContent_TransitionEffectOption</t>
  </si>
  <si>
    <t>TC104</t>
  </si>
  <si>
    <t>Set Transition</t>
  </si>
  <si>
    <t xml:space="preserve">Check able to set the transition effect </t>
  </si>
  <si>
    <t>1. Launch JioSignage (https://digitalsignage.jio.com/users/sign_in) in browser.
2. Login with valid credential.
3. Go to Layouts &gt; create layout &gt;Click on edit slide option.
4. Select entire screen option.
5. Click on Transition effect name or the dropdown icon of it.
6. Observe the list of transition effects.
7. Select the transition effect.
8. click on Preview button&gt; observe.</t>
  </si>
  <si>
    <t>&gt; After selecting the transition effect selected effect name should be observed on the transition name box.
&gt;Slide Preview should be observed as per the selected slide option.</t>
  </si>
  <si>
    <t>TC105</t>
  </si>
  <si>
    <t>Check 'Go back to home screen when no action performed 'checkbox option behavior</t>
  </si>
  <si>
    <t>1. Launch JioSignage (https://digitalsignage.jio.com/users/sign_in) in browser.
2. Login with valid credential.
3. Go to Layouts &gt; create layout &gt;Click on edit slide option.
4. Select entire screen option.
5. Fill checkbox by click on the option -'Go back to home screen when no action performed'.
6. Observe the Behavior.
7. Check the Modify seconds box behavior.</t>
  </si>
  <si>
    <t>TC106</t>
  </si>
  <si>
    <t xml:space="preserve">Background </t>
  </si>
  <si>
    <t>Background Image</t>
  </si>
  <si>
    <t>Check able to add  the background image of  slide</t>
  </si>
  <si>
    <t>1. Launch JioSignage (https://digitalsignage.jio.com/users/sign_in) in browser.
2. Login with valid credential.
3. Go to Layouts &gt; create layout &gt;Click on edit slide option.
4. Select background option.
5. Observe the background image option.
6. Drag and drop the image file to edit slide screen or Background image box option.
7. Click on preview option &gt;Observe the behavior.</t>
  </si>
  <si>
    <t>&gt;User should able to add background image by drag and drop to edit slide screen.
&gt;User should able to add background image to the box option.
&gt;After adding the image , Selected file name should be observed on box option.
&gt;Preview of the slide with selected background images should be observed.</t>
  </si>
  <si>
    <t>TC107</t>
  </si>
  <si>
    <t>Check able to modify or delete background image from the slide</t>
  </si>
  <si>
    <t>1. Launch JioSignage (https://digitalsignage.jio.com/users/sign_in) in browser.
2. Login with valid credential.
3. Go to Layouts &gt; create layout &gt;Click on edit slide option.
4. Select background option.
5. Observe the background image option.
6. Drag and drop the image file to edit slide screen or Background image box option.
7. select other image file and drop it as background &gt;observe.
8. Click on delete option &gt; observe.</t>
  </si>
  <si>
    <t>&gt;Background image should be replaced with the latest selected file.
&gt;Background image should be deleted by click on the delete option, and background image box should not show any name.</t>
  </si>
  <si>
    <t>TC108</t>
  </si>
  <si>
    <t>Check the alignment option for the background image</t>
  </si>
  <si>
    <t>1. Launch JioSignage (https://digitalsignage.jio.com/users/sign_in) in browser.
2. Login with valid credential.
3. Go to Layouts &gt; create layout &gt;Click on edit slide option.
4. Select background option.
5. Select any background image.
6. Click on the below dropdown box option.
7. Observe.</t>
  </si>
  <si>
    <t>&gt;'Stretch in display area' option should be selected by default.
&gt;Dropdown box should show the below options :
1. Centre in actual size
2. Tile in actual size
3. Stretch in display area
4. Stretch but keep aspect ratio.
&gt;User should able to select any of the option from the selected option dropdown.
&gt;After selecting the option it should be observed on the dropdown box option.</t>
  </si>
  <si>
    <t>TC109</t>
  </si>
  <si>
    <t>Background color</t>
  </si>
  <si>
    <t>Check background color option behavior</t>
  </si>
  <si>
    <t>1. Launch JioSignage (https://digitalsignage.jio.com/users/sign_in) in browser.
2. Login with valid credential.
3. Go to Layouts &gt; create layout &gt;Click on edit slide option.
4. select background option &gt; observe the background color option.
5. Click on the color checkbox option.
6. Click on color box  &gt; select the custom color &gt; click on Ok.
7. Observe the background screen.
8. Uncheck  the background color box  option &gt;observe.</t>
  </si>
  <si>
    <t>&gt;By default Background Color option should be unchecked.
&gt;White color should be selected by default.
&gt;User should able to select and add custom color.
&gt;added color should be observed on the background of the slide.
&gt;By uncheck to color box background should be switch to Default (White)</t>
  </si>
  <si>
    <t>test_editContent_BackgroundColour</t>
  </si>
  <si>
    <t>TC110</t>
  </si>
  <si>
    <t>Background Color &amp; image</t>
  </si>
  <si>
    <t>Check Background with image object and background color</t>
  </si>
  <si>
    <t>1. Launch JioSignage (https://digitalsignage.jio.com/users/sign_in) in browser.
2. Login with valid credential.
3. Go to Layouts &gt; create layout &gt;Click on edit slide option.
4. create image object
5.  choose background color.
6. Check (fill) the background color option.
7. Click on preview button &gt;observe.</t>
  </si>
  <si>
    <t xml:space="preserve">&gt;Preview should be observed with background colour and Object.
</t>
  </si>
  <si>
    <t>TC111</t>
  </si>
  <si>
    <t>Action option</t>
  </si>
  <si>
    <t>Check Action option behavior</t>
  </si>
  <si>
    <t>1. Launch JioSignage (https://digitalsignage.jio.com/users/sign_in) in browser.
2. Login with valid credential.
3. Go to Layouts &gt; create layout &gt;Click on edit slide option.
4.Select background option&gt;Select action option.
5. Observe &amp; Check.</t>
  </si>
  <si>
    <t>TC112</t>
  </si>
  <si>
    <t>Auto Tap</t>
  </si>
  <si>
    <t>Check Auto tap option behavior</t>
  </si>
  <si>
    <t>1. Launch JioSignage (https://digitalsignage.jio.com/users/sign_in) in browser.
2. Login with valid credential.
3. Go to Layouts &gt; create layout &gt;Click on edit slide option.
4.Select background option&gt;Select auto tap option.
5. Observe &amp; Check.</t>
  </si>
  <si>
    <t>TC113</t>
  </si>
  <si>
    <t>Multiple slide</t>
  </si>
  <si>
    <t>Check Transition effect in multiple object section</t>
  </si>
  <si>
    <t>1. Launch JioSignage (https://digitalsignage.jio.com/users/sign_in) in browser.
2. Login with valid credential.
3. Go to Layouts &gt; create layout &gt;Click on edit slide option.
4. Click on  add object&gt; select Multiple Slide object.
5.Add Image as an slide.
6. Select different slide options and verify</t>
  </si>
  <si>
    <t>User should be able to set transition type and transition type should be reflected in delivered Layout</t>
  </si>
  <si>
    <t>TC114</t>
  </si>
  <si>
    <t>Check set duration  in multiple object section</t>
  </si>
  <si>
    <t>1. Launch JioSignage (https://digitalsignage.jio.com/users/sign_in) in browser.
2. Login with valid credential.
3. Go to Layouts &gt; create layout &gt;Click on edit slide option.
4. Click on  add object&gt; select Multiple Slide object.
5.verify set duration option of the added object.</t>
  </si>
  <si>
    <t>User should be able to set duration</t>
  </si>
  <si>
    <t>TC115</t>
  </si>
  <si>
    <t>Check Audio On functionality</t>
  </si>
  <si>
    <t>1. Launch JioSignage (https://digitalsignage.jio.com/users/sign_in) in browser.
2. Login with valid credential.
3. Go to Layouts &gt; create layout &gt;Click on edit slide option.
4. Click on  add object&gt; select Multiple Slide object.
5.verify Audio On option of added object.</t>
  </si>
  <si>
    <t>User should be able to set Audio On functionality</t>
  </si>
  <si>
    <t>TC116</t>
  </si>
  <si>
    <t>Check Fit to screen option</t>
  </si>
  <si>
    <t>1. Launch JioSignage (https://digitalsignage.jio.com/users/sign_in) in browser.
2. Login with valid credential.
3. Go to Layouts &gt; create layout &gt;Click on edit slide option.
4. Click on  add object&gt; select Multiple Slide object.
5.verify Fit to screen option of added object</t>
  </si>
  <si>
    <t>User should be able to set Fit to screen  functionality</t>
  </si>
  <si>
    <t>TC117</t>
  </si>
  <si>
    <t>1.Go to Layouts &gt; create layout &gt;Click on edit slide option.
2. Click on  add object&gt; select Multiple Slide object.
3.verify Action option of added object.</t>
  </si>
  <si>
    <t>User should be able to use Action   functionality</t>
  </si>
  <si>
    <t>TC118</t>
  </si>
  <si>
    <t>Check slide by tap</t>
  </si>
  <si>
    <t>1. Launch JioSignage (https://digitalsignage.jio.com/users/sign_in) in browser.
2. Login with valid credential.
3.Go to Layouts &gt; create layout &gt;Click on edit slide option.
4.Click on  add object&gt; select Multiple Slide object.
5.verify Slide by Tap option for added object.</t>
  </si>
  <si>
    <t>User should be able to set Slide by Tap functionality</t>
  </si>
  <si>
    <t>TC119</t>
  </si>
  <si>
    <t>Check "Show navigation option"</t>
  </si>
  <si>
    <t>1. Launch JioSignage (https://digitalsignage.jio.com/users/sign_in) in browser.
2. Login with valid credential.
3.Go to Layouts &gt; create layout &gt;Click on edit slide option.
4.Click on  add object&gt; select Multiple Slide object.
5.verify Show navigation  option of added object.</t>
  </si>
  <si>
    <t>User should be able to set "Show navigation " and see changes</t>
  </si>
  <si>
    <t>TC120</t>
  </si>
  <si>
    <t xml:space="preserve">Check user able to deliver by use Multiple Slide in "Template for splitting screen" </t>
  </si>
  <si>
    <t>1. Launch JioSignage (https://digitalsignage.jio.com/users/sign_in) in browser.
2. Login with valid credential.
3. Go to Layout tab -&gt; + -&gt; Select " Template for splitting screen" &gt;create layout using selected template option.
4.select one sceen of the layout.
5. Add Multiple slide object. 
4. Verify user is able to add multiple slide object.
6.add created layout to schedule &gt; deliver schedule to display.</t>
  </si>
  <si>
    <t>User should able to add multiple slide and should able to deliver it to the display</t>
  </si>
  <si>
    <t>TC121</t>
  </si>
  <si>
    <t>Check if able to deliver "multiple slide object" to display.</t>
  </si>
  <si>
    <t>1. Launch JioSignage (https://digitalsignage.jio.com/users/sign_in) in browser.
2. Login with valid credential.
3.Go to Layouts &gt; Open layout &gt;Click on edit slide option.
5.Click on add Object &gt;select  Multiple Slide object&gt;add media to slide of the object.
6. Verify user able to add multiple slide object and deliver the created Layout and observe.</t>
  </si>
  <si>
    <t>Multiple slide object should get deliver successfully</t>
  </si>
  <si>
    <t>TC122</t>
  </si>
  <si>
    <t>Verify able to deliver the only one image slide using multislide.</t>
  </si>
  <si>
    <t>1. Launch JioSignage (https://digitalsignage.jio.com/users/sign_in) in browser.
2. Login with valid credential.
3. Create an Layout-&gt;Edit Slide or Edit existing Layout-&gt;Edit slide.
4.Click on add Object &gt;select  Multiple Slide object&gt;add one image  to slide of the object.
5. add layout to schedule and deliver to display.</t>
  </si>
  <si>
    <t>Delivered image should deliver in display</t>
  </si>
  <si>
    <t>TC123</t>
  </si>
  <si>
    <t>Verify able to deliver the only video slide using multislide.</t>
  </si>
  <si>
    <t>1. Launch JioSignage (https://digitalsignage.jio.com/users/sign_in) in browser.
2. Login with valid credential.
3. Create an Layout-&gt;Edit Slide or Edit existing Layout-&gt;Edit slide.
4.Click on add Object &gt;select  Multiple Slide object&gt;add one video  to slide of the object.
5. add layout to schedule and deliver to display.</t>
  </si>
  <si>
    <t>User should able to Deliver the video in display</t>
  </si>
  <si>
    <t>TC124</t>
  </si>
  <si>
    <t>Verify able to deliver the multiple  image slides using multislide.</t>
  </si>
  <si>
    <t>1. Create an Layout-&gt;Edit Slide or Edit existing Layout-&gt;Edit slide.
2.Click on add Object &gt;select  Multiple Slide object&gt;add slides for onject&gt; add  images  to each slide of the object.
4. add layout to schedule and deliver to display.</t>
  </si>
  <si>
    <t>User should deliver the images slide in display.</t>
  </si>
  <si>
    <t>TC125</t>
  </si>
  <si>
    <t>Verify able to deliver the multiple  video slides using multislide.</t>
  </si>
  <si>
    <t>1. Create an Layout-&gt;Edit Slide or Edit existing Layout-&gt;Edit slide.
2.Click on add Object &gt;select  Multiple Slide object&gt;add slides for onject&gt; add  video  to each slide of the object.
4. add layout to schedule and deliver to display.</t>
  </si>
  <si>
    <t>User should deliver the video slide in display.</t>
  </si>
  <si>
    <t>TC126</t>
  </si>
  <si>
    <t>Button</t>
  </si>
  <si>
    <t>Verify that user able to take action "Text object to show "on text object through button object(Text).</t>
  </si>
  <si>
    <t>1. Launch JioSignage (https://digitalsignage.jio.com/users/sign_in) in browser.
2. Login with valid credential.
3. Create an Layout-&gt;Edit Slide or Edit existing Layout-&gt;Edit slide.
4.  Click on add object option &gt; select  Text object &amp; enter Text &amp; modify according to user requirement.
5.   Add Button object , Add action name , button name , select area  "Set area where action is set" ,Select "Action-&gt;Text" from the drop down .
6.Save and Preview
7. Click on the button.
8. Deliver to display.
9. Verify click button action on client display.</t>
  </si>
  <si>
    <t>1.User should able to see Text Object and Button Obj.
2.User should able to click on button .
3.Defined action should take place on button click. That means , New Text Object should be displayed on top of old Text Object.</t>
  </si>
  <si>
    <t>TC127</t>
  </si>
  <si>
    <t>Verify that user able to take action "Image object to show" on image object through button object (image).</t>
  </si>
  <si>
    <t>1. Launch JioSignage (https://digitalsignage.jio.com/users/sign_in) in browser.
2. Login with valid credential.
3.Go to Layouts &gt; create layout &gt;Click on edit slide option.
4.  Click on add object option &gt; select  image object &amp; add one image and modify according to user requirement.
5.   Add Button object , Add action name , button name , select area  "Set area where action is set" ,Select "Action-&gt;Show image" from the drop down .
6.Save and Preview
7. Click on the button.
8. Deliver to display.
9. Verify click button action on client display.</t>
  </si>
  <si>
    <t>1.User should able to see image Object and Button Obj.
2.User should able to click on button .
3.Defined action should take place on button click. That means , New image Object should be displayed on top of old Text Object.</t>
  </si>
  <si>
    <t>TC128</t>
  </si>
  <si>
    <t>Verify that user able to take action "Video object to show" on video object through button object (video).</t>
  </si>
  <si>
    <t>1. Launch JioSignage (https://digitalsignage.jio.com/users/sign_in) in browser.
2. Login with valid credential.
3.Go to Layouts &gt; create layout &gt;Click on edit slide option..
4.Click on add object option &gt; select  video object &amp; add one video and modify according to user requirement.
5.   Add Button object , Add action name , button name , select area  "Set area where action is set" ,Select "Action-&gt;Show video" from the drop down .
6.Save and Preview
7. Click on the button.
8. Deliver to display.
9. Verify click button action on client display.</t>
  </si>
  <si>
    <t>1.User should able to see video Object and Button Obj.
2.User should able to click on button .
3.Defined action should take place on button click. That means , New video Object should be displayed on top of old Text Object.</t>
  </si>
  <si>
    <t>TC129</t>
  </si>
  <si>
    <t>Verify that user able to take action "Onscreen text to show" on Onscreen object through button object (Show onscreen).</t>
  </si>
  <si>
    <t>1. Launch JioSignage (https://digitalsignage.jio.com/users/sign_in) in browser.
2. Login with valid credential.
3.Go to Layouts &gt; create layout &gt;Click on edit slide option.
4.Click on add object option &gt; select  onscreen text object &amp; add text and modify according to user requirement.
5.Add Button object , Add action name , button name , select area  "Set area where action is set" ,Select "Action-&gt;Show onscreen text" from the drop down .
6.Save and Preview
7. Click on the button.
8.Deliver to display.
9. Verify click button action on client display.</t>
  </si>
  <si>
    <t>1.User should able to see onscreen text Object and Button Obj.
2.User should able to click on button .
3.Defined action should take place on button click. That means , New onscreen text  Object should be displayed on top of old Text Object.</t>
  </si>
  <si>
    <t>TC130</t>
  </si>
  <si>
    <t>Verify that user able to take action "Image slide to show" on multi slide object through button object (Show image slide).</t>
  </si>
  <si>
    <t>1. Launch JioSignage (https://digitalsignage.jio.com/users/sign_in) in browser.
2. Login with valid credential.
3.Go to Layouts &gt; create layout &gt;Click on edit slide option.
4.Click on add object option &gt; select  multi slide object &amp; add image to 2 slide and modify according to user requirement.
5.Add Button object , Add action name , button name , select area  "Set area where action is set" ,Select "Action-&gt;Show image slide" from the drop down .
6.Save and Preview
7. Click on the button.
8. Deliver to display.
9. Verify click button action on client display.</t>
  </si>
  <si>
    <t>1.User should able to see image slide Object and Button Obj.
2.User should able to click on button .
3.Defined action should take place on button click. That means , New image slide Object should be displayed on top of old Text Object.</t>
  </si>
  <si>
    <t>TC131</t>
  </si>
  <si>
    <t>Verify that user able to take action "Rss Feed to show" on Rss Feed object through button object (Show Rss Feed).</t>
  </si>
  <si>
    <t>1. Launch JioSignage (https://digitalsignage.jio.com/users/sign_in) in browser.
2. Login with valid credential.
3.Go to Layouts &gt; create layout &gt;Click on edit slide option.
4.  Click on add object option &gt; select  Rss Feed object &amp; add any channel and modify according to user requirement.
5.   Add Button object , Add action name , button name , select area  "Set area where action is set" ,Select "Action-&gt;Show Rss Feed" from the drop down .
6.Save and Preview
7. Click on the button.
8. Deliver to display.
9. Verify click button action on client display.</t>
  </si>
  <si>
    <t>1.User should able to see Rss Feed Object and Button Obj.
2.User should able to click on button .
3.Defined action should take place on button click. That means , New Rss Feed Object should be displayed on top of old Text Object.</t>
  </si>
  <si>
    <t>TC132</t>
  </si>
  <si>
    <t>Verify that user able to take action "YouTube video to show" on YouTube object through button object (Show YouTube).</t>
  </si>
  <si>
    <t>1. Launch JioSignage (https://digitalsignage.jio.com/users/sign_in) in browser.
2. Login with valid credential.
3.Go to Layouts &gt; create layout &gt;Click on edit slide option.
4.  Click on add object option &gt; select  YouTube object &amp; add any YouTube link and modify according to user requirement.
5.   Add Button object , Add action name , button name , select area  "Set area where action is set" ,Select "Action-&gt;Show YouTube" from the drop down .&gt;&gt;Add an different YouTube link in button object
6.Save and Preview
7. Click on the button.
8. Deliver to display.
9. Verify click button action on client display.</t>
  </si>
  <si>
    <t>1.User should able to see YouTube Object and Button Obj.
2.User should able to click on button .
3.Defined action should take place on button click. That means , New YouTube Object should be displayed on top of old Text Object.</t>
  </si>
  <si>
    <t>TC133</t>
  </si>
  <si>
    <t>Verify that user able to take action "Google data to show" on Google object through button object (Show google,image).</t>
  </si>
  <si>
    <t>1. Launch JioSignage (https://digitalsignage.jio.com/users/sign_in) in browser.
2. Login with valid credential.
3.Go to Layouts &gt; create layout &gt;Click on edit slide option.
4.  Click on add object option &gt; select  Google object &amp; add an link(Google map) and modify according to user requirement.
5.   Add Button object , Add action name , button name , select area  "Set area where action is set" ,Select "Action-&gt;Show Google" from the drop down .&gt;&gt;Add an different Google map link in button object
6.Save and Preview
7. Click on the button.
8. Deliver to display.
9. Verify click button action on client display.</t>
  </si>
  <si>
    <t>1.User should able to see Google Object and Button Obj.
2.User should able to click on button .
3.Defined action should take place on button click. That means , New Google Object should be displayed on top of old Text Object.</t>
  </si>
  <si>
    <t>TC134</t>
  </si>
  <si>
    <t>Verify that user able to take action "Shape to show" on shape object through button object (Show shape).</t>
  </si>
  <si>
    <t>1. Launch JioSignage (https://digitalsignage.jio.com/users/sign_in) in browser.
2. Login with valid credential.
3.Go to Layouts &gt; create layout &gt;Click on edit slide option.
4.  Click on add object option &gt; select  shape object &amp; add an shape (like triangle) and modify according to user requirement.
5.   Add Button object , Add action name , button name , select area  "Set area where action is set" ,Select "Action-&gt;Show Shape" from the drop down .&gt;&gt;Add an different shape like (like Rectangle) in button object
6.Save and Preview
7. Click on the button.
8. Deliver to display.
9. Verify click button action on client display.</t>
  </si>
  <si>
    <t>1.User should able to see Shape Object and Button Obj.
2.User should able to click on button .
3.Defined action should take place on button click. That means , New Shape Object should be displayed on top of old Text Object.</t>
  </si>
  <si>
    <t>TC135</t>
  </si>
  <si>
    <t>Verify that user able to take action "Show to Jiosaavn" on Jiosaavn object through button object (Jiosaavn, image).</t>
  </si>
  <si>
    <t>1. Launch JioSignage (https://digitalsignage.jio.com/users/sign_in) in browser.
2. Login with valid credential.
3.Go to Layouts &gt; create layout &gt;Click on edit slide option.
4.  Click on add object option &gt; select  Jiosaavn object &amp; add an shape (like triangle) and modify according to user requirement.
5.   Add Button object , Add action name , button name , select area  "Set area where action is set" ,Select "Action-&gt;Show Jiosaavn" from the drop down .
6.Save and Preview
7. Click on the button.
8. Deliver to display.
9. Verify click button action on client display.</t>
  </si>
  <si>
    <t>1.User should able to see Jiosaavn Object and Button Obj.
2.User should able to click on button .
3.Defined action should take place on button click. That means , New image Object should be displayed on top of old Text Object.</t>
  </si>
  <si>
    <t>TC136</t>
  </si>
  <si>
    <t>Verify that user able to take action "Show to Instagram data" on Instagram object through button object (Instagram, image).</t>
  </si>
  <si>
    <t>1. Launch JioSignage (https://digitalsignage.jio.com/users/sign_in) in browser.
2. Login with valid credential.
3.Go to Layouts &gt; create layout &gt;Click on edit slide option.
4.Click on add object option &gt; select  Instagram object &amp; add login using user id and password
5.Add Button object , Add action name , button name , select area  "Set area where action is set" ,Select "Action-&gt;Show Instagram" from the drop down .
6.Save and Preview
7. Click on the button.
8. Deliver to display.
9. Verify click button action on client display.</t>
  </si>
  <si>
    <t>1.User should able to see Instagram Object and Button Obj.
2.User should able to click on button .
3.Defined action should take place on button click. That means , New image Object should be displayed on top of old Text Object.</t>
  </si>
  <si>
    <t>TC137</t>
  </si>
  <si>
    <t>Verify that user able to take action "Show to cricket news" on cricket object through button object (cricket, image).</t>
  </si>
  <si>
    <t>1. Launch JioSignage (https://digitalsignage.jio.com/users/sign_in) in browser.
2. Login with valid credential.
3.Go to Layouts &gt; create layout &gt;Click on edit slide option.
4.  Click on add object option &gt; select  cricket object &gt;&gt;Add any match
5.   Add Button object , Add action name , button name , select area  "Set area where action is set" ,Select "Action-&gt;Show cricket" from the drop down .&gt;&gt;Add different match
6.Save and Preview
7. Click on the button.
8. Deliver to display.
9. Verify click button action on client display.</t>
  </si>
  <si>
    <t>1.User should able to see cricket Object and Button Obj.
2.User should able to click on button .
3.Defined action should take place on button click. That means , Different cricket match news Object should be displayed on top of old Text Object.</t>
  </si>
  <si>
    <t>TC138</t>
  </si>
  <si>
    <t>Verify that user able to take action "Show to Facebook data" on Facebook object through button object (Facebook).</t>
  </si>
  <si>
    <t>1. Launch JioSignage (https://digitalsignage.jio.com/users/sign_in) in browser.
2. Login with valid credential.
3.Go to Layouts &gt; create layout &gt;Click on edit slide option.
4. Click on add object option &gt; select  Facebook object &gt;&gt;Login using user id and password
5.   Add Button object , Add action name , button name , select area  "Set area where action is set" ,Select "Action-&gt;Show Facebook" from the drop down .&gt;&gt;Add different login user id and password
6.Save and Preview
7. Click on the button.
8. Deliver to display.
9. Verify click button action on client display.</t>
  </si>
  <si>
    <t>1.User should able to see Facebook Object and Button Obj.
2.User should able to click on button .
3.Defined action should take place on button click. That means , New Facebook post Object should be displayed on top of old Text Object.</t>
  </si>
  <si>
    <t>TC139</t>
  </si>
  <si>
    <t>Verify that user able to take action "Show to HDMI data" on HDMI object through button object (HDMI).</t>
  </si>
  <si>
    <t>1. Launch JioSignage (https://digitalsignage.jio.com/users/sign_in) in browser.
2. Login with valid credential.
3.Go to Layouts &gt; create layout &gt;Click on edit slide option.
4.  Click on add object option &gt; select  HDMI object 
5.   Add Button object , Add action name , button name , select area  "Set area where action is set" ,Select "Action-&gt;Show HDMI" from the drop down .
6.Save and Preview
7. Click on the button.
8. Deliver to display.
9. Verify click button action on client display.</t>
  </si>
  <si>
    <t>1.User should able to see HDMI Object and Button Obj.
2.User should able to click on button .
3.Defined action should take place on button click. That means , New HDMI data Object should be displayed on top of old Text Object.</t>
  </si>
  <si>
    <t>TC140</t>
  </si>
  <si>
    <t>Verify that user able to take action "Show to External webpage data" on External webpage object through button object (Show External webpage).</t>
  </si>
  <si>
    <t>1. Launch JioSignage (https://digitalsignage.jio.com/users/sign_in) in browser.
2. Login with valid credential.
3.Go to Layouts &gt; create layout &gt;Click on edit slide option.
4.  Click on add object option &gt; select External webpage object &gt;&gt;Add an URL for this object(bankersadda.com)
5.   Add Button object , Add action name , button name , select area  "Set area where action is set" ,Select "Action-&gt;Show External webpage" from the drop down .&gt;&gt;Enter the URL for button object(freejobalert.com)
6.Save and Preview
7. Click on the button.
8. Deliver to display.
9. Verify click button action on client display.</t>
  </si>
  <si>
    <t>1.User should able to see External webpage Object and Button Obj.
2.User should able to click on button .
3.Defined action should take place on button click. That means , New External webpage data Object should be displayed on top of old Text Object.</t>
  </si>
  <si>
    <t>TC141</t>
  </si>
  <si>
    <t>Verify that user able to take action "Show to image" on  clock object through button object (image).</t>
  </si>
  <si>
    <t>1. Launch JioSignage (https://digitalsignage.jio.com/users/sign_in) in browser.
2. Login with valid credential.
3.Go to Layouts &gt; create layout &gt;Click on edit slide option.
4.  Click on add object option &gt; select clock object
5.   Add Button object , Add action name , button name , select area  "Set area where action is set" ,Select "Action-&gt;Show image" from the drop down &gt;&gt;Add any image to the button object
6.Save and Preview
7. Click on the button.
8. Deliver to display.
9. Verify click button action on client display.</t>
  </si>
  <si>
    <t>1.User should able to see clock Object and Button Obj.
2.User should able to click on button .
3.Defined action should take place on button click. That means , New image Object should be displayed on top of old Text Object.</t>
  </si>
  <si>
    <t>TC142</t>
  </si>
  <si>
    <t>Verify that user able to take action "Show to image" on weather widget object through button object (image).</t>
  </si>
  <si>
    <t>1. Launch JioSignage (https://digitalsignage.jio.com/users/sign_in) in browser.
2. Login with valid credential.
3.Go to Layouts &gt; create layout &gt;Click on edit slide option.
4. Click on add object option &gt; select weather widget object
5.  Add Button object , Add action name , button name , select area  "Set area where action is set" ,Select "Action-&gt;Show image" from the drop down &gt;&gt;Add any image to the button object
6.Save and Preview
7. Click on the button.
8. Deliver to display.
9. Verify click button action on client display.</t>
  </si>
  <si>
    <t>1.User should able to see weather Object and Button Obj.
2.User should able to click on button .
3.Defined action should take place on button click. That means , New image Object should be displayed on top of old Text Object.</t>
  </si>
  <si>
    <t>TC143</t>
  </si>
  <si>
    <t>Verify "Area/object where action is set" functionality</t>
  </si>
  <si>
    <t>1. Launch JioSignage (https://digitalsignage.jio.com/users/sign_in) in browser.
2. Login with valid credential.
3.Go to Layouts &gt; create layout &gt;Click on edit slide option.
4.Click on add object option &gt; select  any object like image/text/video/YouTube/Facebook.../up to 19th object
5. Add the object data according to the object type
6. Again click on Add object
7. Click on button object
8. Enter any action name for the button object
9. Click on "Area/object where action is set" dropdown button</t>
  </si>
  <si>
    <t>User should able to see the object name that added initially in the "Area/object where action is set" dropdown list</t>
  </si>
  <si>
    <t>TC144</t>
  </si>
  <si>
    <t>Verify "Action" option inside button object</t>
  </si>
  <si>
    <t>1. Launch JioSignage (https://digitalsignage.jio.com/users/sign_in) in browser.
2. Login with valid credential.
3.Go to Layouts &gt; create layout &gt;Click on edit slide option.
4.  Click on add object option &gt; select  any object like image/text/video/YouTube/Facebook.../up to 19th object
5. Add the object data according to the object type
6. Again click on Add object
7. Click on button object
8. Enter any action name for the button object
9. Click on "Area/object where action is set" dropdown button
10. User should able to see the object name that added initially
11.Click on "Action" dropdown button</t>
  </si>
  <si>
    <t>User should able to select any of the options like "Show text" , "show Thomas cook" , "Show image" , "Show video" , "Show image slide" , "Show external webpage" ,"Show clock" , "Show rss feed" , "Target reload" , "Show weather widget" , "Show onscreen text" , "Show YouTube" , "Show google" , "Show shape" , "Show Jiosaavn" , "Show Instagram" , "Show cricket" , "Show Facebook" , "Show HDMI" , "Show image layer"</t>
  </si>
  <si>
    <t>TC145</t>
  </si>
  <si>
    <t>Verify that user able to see the action object in place of first object by clicking the button object name in preview as well as in external display</t>
  </si>
  <si>
    <t>1. Launch JioSignage (https://digitalsignage.jio.com/users/sign_in) in browser.
2. Login with valid credential.
1.Go to Layouts &gt; create layout &gt;Click on edit slide option.
2.  Click on add object option &gt; select  any object like image/text/video/YouTube/Facebook.../up to 19th object
3. Add the object data according to the object type
4. Again click on Add object
5. Click on button object
6. Enter any action name for the button object
7. Click on "Area/object where action is set" dropdown button
8. User should able to see the object name that added initially
9. Click on "Action" dropdown button
10. Select any action object like "Show text" , "Show Thomas cook", "Show image", "Show video" .....Up to "Show image layer"
11. Enter any name for the button object
12. Click on Save&gt;&gt;Click on preview
13. Click on button object name&gt;&gt;Observe
14. Then create an schedule by containing this Layout &gt;&gt;Deliver to the external display&gt;&gt; Click the button object name in external display&gt;&gt;Observe</t>
  </si>
  <si>
    <t>gv</t>
  </si>
  <si>
    <t>AA</t>
  </si>
  <si>
    <t>TC146</t>
  </si>
  <si>
    <t>Button Box</t>
  </si>
  <si>
    <t>Verify that user able to keep multiple button inside button box</t>
  </si>
  <si>
    <t>1. Launch JioSignage (https://digitalsignage.jio.com/users/sign_in) in browser.
2. Login with valid credential.
3.Go to Layouts &gt; create layout &gt;Click on edit slide option.
4.  Click on add object option &gt; select  Button Box object
5. Add button box name
6. Click on create button inside multiple times or Click on Add object&gt;&gt;Click on Button object</t>
  </si>
  <si>
    <t xml:space="preserve">User should able to create multiple button inside button Box </t>
  </si>
  <si>
    <t>TC147</t>
  </si>
  <si>
    <t>Verify that user able to take action "video object to show "on text object through button object over background image  .</t>
  </si>
  <si>
    <t>1. Launch JioSignage (https://digitalsignage.jio.com/users/sign_in) in browser.
2. Login with valid credential.
3.Go to Layouts &gt; create layout &gt;Click on edit slide option.
4.  Click on add object option &gt; select image object&gt;&gt;Add any image with full screen mode
5. Again click on Add Object&gt;&gt;Add any text
6.   Add Button object , Add action name , button name , select area  "Set area where action is set" ,Select "Action-&gt;Show video" from the drop down &gt;&gt;Add any video to the button object over text object
7.Save and Preview
8. Click on the button.
9. Deliver to display.
10. Verify click button action on client display.</t>
  </si>
  <si>
    <t>User should able to show the video over the  text object while clicking the button object over the background image with full screen mode</t>
  </si>
  <si>
    <t>TC148</t>
  </si>
  <si>
    <t>Verify multiple button object  that user able to take action " multiple Video to show" on multiple text object through multiple button object over background image with full screen</t>
  </si>
  <si>
    <t>1. Launch JioSignage (https://digitalsignage.jio.com/users/sign_in) in browser.
2. Login with valid credential.
3.Go to Layouts &gt; create layout &gt;Click on edit slide option.
4.  Click on add object option &gt; select image object&gt;&gt;Add any image with full screen mode
5. Again click on Add Object&gt;&gt;Add any text
6.   Add Button object , Add action name , button name , select area  "Set area where action is set" ,Select "Action-&gt;Show video" from the drop down &gt;&gt;Add any video to the button object over text object
7. Again click on Add Object&gt;&gt;Add any different text
8.   Add Button object , Add action name , button name , select area  "Set area where action is set" I.e. second Text ,Select "Action-&gt;Show video" from the drop down &gt;&gt;Add any video to the button object over second text object
9.Save and Preview
10. Click on the multiple button object one by one&gt;&gt;Observe.
11. Deliver to display.
12. Verify click button action on client display.</t>
  </si>
  <si>
    <t>User should able to see the multiple video over the  multiple text object while clicking the multiple button object over the background image with full screen mode</t>
  </si>
  <si>
    <t>TC149</t>
  </si>
  <si>
    <t>Verify that user able to take action "image object to show "on text object through button object over background image with full screen mode  .</t>
  </si>
  <si>
    <t>1. Launch JioSignage (https://digitalsignage.jio.com/users/sign_in) in browser.
2. Login with valid credential.
3.Go to Layouts &gt; create layout &gt;Click on edit slide option..
4.Click on add object option &gt; select image object&gt;&gt;Add any image with full screen mode
5. Again click on Add Object&gt;&gt;Add any text
6.  Add Button object , Add action name , button name , select area  "Set area where action is set" ,Select "Action-&gt;Show image" from the drop down &gt;&gt;Add any image to the button object over text object
7. Save and Preview
8. Click on the button.
9. Deliver to display.
10. Verify click button action on client display.</t>
  </si>
  <si>
    <t>User should able to show the image over the  text object while clicking the button object over the background image with full screen mode</t>
  </si>
  <si>
    <t>TC150</t>
  </si>
  <si>
    <t>HDMI</t>
  </si>
  <si>
    <t>Verify user is able to create HDMI object</t>
  </si>
  <si>
    <t>1. Launch JioSignage (https://digitalsignage.jio.com/users/sign_in) in browser.
2. Login with valid credential.
3.Go to Layouts &gt; create layout &gt;Click on edit slide option.
4.Click on add  Object-&gt; select  HDMI object.
5.Create HDMI object.
6. See in preview and deliver to display</t>
  </si>
  <si>
    <t>User should able to create and launch HDMI object on slide and display as well</t>
  </si>
  <si>
    <t>TC151</t>
  </si>
  <si>
    <t>Video</t>
  </si>
  <si>
    <t>Verify Clickable video functionality</t>
  </si>
  <si>
    <t>1. Launch JioSignage  Sign In Page : https://digitalsignage.jio.com/users/sign_in .
2. Login with valid credential.
3.  Hover over Content Management.
4.  Click on Layouts.
5.  Click on Add new Layout.
6.  Enter Layout Name.
7.  Select Orientation and Resolution
8.  Enter an template and click on Add.
9.  Go to edit Slide option.
10.Click on Object-&gt;Video
11. Click on clickable video check box &gt; Click on Save
12. Verify clickable video functionality on Display</t>
  </si>
  <si>
    <t>User should able to create clickable video and user should able to click on it and should get a set feedback</t>
  </si>
  <si>
    <t>TC152</t>
  </si>
  <si>
    <t>SplitScreen-Object</t>
  </si>
  <si>
    <t>Image</t>
  </si>
  <si>
    <t>Verify Image object in Split Screen Template</t>
  </si>
  <si>
    <t>1. Launch JioSignage  Sign In Page : https://digitalsignage.jio.com/users/sign_in .
2. Login with valid credential.
3. Hover over content Management &gt; Click on Layouts.
4.  Click on Add new Layout.
5.  Enter Layout Name.
6.  Select Orientation and Resolution
7.  Enter a Split Screen template and click on Add.
8.  Go to edit Slide option.
9.Click on Object-&gt; Image
10. Create Image Object.
11. See in Preview and deliver to display.</t>
  </si>
  <si>
    <t>User should be able to create Split screen template with Image object.
User should able to deliver it to the display successfully</t>
  </si>
  <si>
    <t>TC153</t>
  </si>
  <si>
    <t>Split Screen-Object</t>
  </si>
  <si>
    <t>Verify Video object in Split Screen Template</t>
  </si>
  <si>
    <t xml:space="preserve">1. Launch JioSignage  Sign In Page : https://digitalsignage.jio.com/users/sign_in .
2. Login with valid credential.
3. Hover over content Management &gt; Click on Layouts.
4.  Click on Add new Layout.
5.  Enter Layout Name.
6.  Select Orientation and Resolution
7.  Enter a Split Screen template and click on Add.
8.  Go to edit Slide option.
9. Add video object.
10. See in Preview and deliver to display
</t>
  </si>
  <si>
    <t>User should be able to create Split screen template with video object.
User should able to deliver it to the display successfully</t>
  </si>
  <si>
    <t>TC154</t>
  </si>
  <si>
    <t>Text</t>
  </si>
  <si>
    <t>Verify Text  object in Split Screen Template</t>
  </si>
  <si>
    <t>1. Launch JioSignage  Sign In Page : https://digitalsignage.jio.com/users/sign_in .
2. Login with valid credential.
3. Hover over content Management &gt; Click on Layouts.
4.  Click on Add new Layout.
5.  Enter Layout Name.
6.  Select Orientation and Resolution
7.  Enter a Split Screen template and click on Add.
8.  Go to edit Slide option.
9. Add Text object.
10.  See in Preview and deliver to display</t>
  </si>
  <si>
    <t>User should be able to create Split screen template with Text object.
User should able to deliver it to the display successfully</t>
  </si>
  <si>
    <t>TC155</t>
  </si>
  <si>
    <t>On Screen Text</t>
  </si>
  <si>
    <t>Verify On Screen Text object in Split Screen Template</t>
  </si>
  <si>
    <t>1. Launch JioSignage  Sign In Page : https://digitalsignage.jio.com/users/sign_in .
2. Login with valid credential.
3. Hover over content Management &gt; Click on Layouts.
4.  Click on Add new Layout.
5.  Enter Layout Name.
6.  Select Orientation and Resolution
7.  Enter a Split Screen template and click on Add.
8.  Go to edit Slide option.
9. Add On Screen  Text object.
10.  See in Preview and deliver to display</t>
  </si>
  <si>
    <t>User should be able to create Split screen template with On Screen Text object.
User should able to deliver it to the display successfully</t>
  </si>
  <si>
    <t>TC156</t>
  </si>
  <si>
    <t>RSS Feed</t>
  </si>
  <si>
    <t>Verify RSS Feed object in Split Screen Template</t>
  </si>
  <si>
    <t xml:space="preserve">1. Launch JioSignage  Sign In Page : https://digitalsignage.jio.com/users/sign_in .
2. Login with valid credential.
3. Hover over content Management &gt; Click on Layouts.
4.  Click on Add new Layout.
5.  Enter Layout Name.
6.  Select Orientation and Resolution
7.  Enter a Split Screen template and click on Add.
8.  Go to edit Slide option.
9. Add RSS FEED  object.
10. See in Preview and deliver to display
</t>
  </si>
  <si>
    <t>User should be able to create Split screen template with RSS Feed object.
User should able to deliver it to the display successfully</t>
  </si>
  <si>
    <t>TC157</t>
  </si>
  <si>
    <t>YouTube</t>
  </si>
  <si>
    <t>Verify YouTube object in Split Screen Template</t>
  </si>
  <si>
    <t xml:space="preserve">1. Launch JioSignage  Sign In Page : https://digitalsignage.jio.com/users/sign_in .
2. Login with valid credential.
3. Hover over content Management &gt; Click on Layouts.
4.  Click on Add new Layout.
5.  Enter Layout Name.
6.  Select Orientation and Resolution
7.  Enter a Split Screen template and click on Add.
8.  Go to edit Slide option.
9.  Select YouTube object &gt; Copy an URL and paste the URL in URL field&gt;Click on Save
10. See in Preview and deliver to display
</t>
  </si>
  <si>
    <t>User should be able to create Split screen template with YouTube object.
User should able to deliver it to the display successfully</t>
  </si>
  <si>
    <t>TC158</t>
  </si>
  <si>
    <t>Google</t>
  </si>
  <si>
    <t>Verify Google object in Split Screen Template</t>
  </si>
  <si>
    <t xml:space="preserve">1. Launch JioSignage  Sign In Page : https://digitalsignage.jio.com/users/sign_in .
2. Login with valid credential.
3. Hover over content Management &gt; Click on Layouts.
4.  Click on Add new Layout.
5.  Enter Layout Name.
6.  Select Orientation and Resolution
7.  Enter a Split Screen template and click on Add.
8.  Go to edit Slide option.
9. Select Google object &gt; Enter the embeded url in url field&gt;Click on Save
10. See in Preview and deliver to display
</t>
  </si>
  <si>
    <t>User should be able to create Split screen template with Google object.
User should able to deliver it to the display successfully</t>
  </si>
  <si>
    <t>TC159</t>
  </si>
  <si>
    <t>Shape</t>
  </si>
  <si>
    <t>Verify Shape  object in Split Screen Template</t>
  </si>
  <si>
    <t>1. Launch JioSignage  Sign In Page : https://digitalsignage.jio.com/users/sign_in .
2. Login with valid credential.
3. Hover over content Management &gt; Click on Layouts.
4.  Click on Add new Layout.
5.  Enter Layout Name.
6.  Select Orientation and Resolution
7.  Enter a Split Screen template and click on Add.
8.  Go to edit Slide option.
9. Add SHape object.
10 See in Preview and deliver to display</t>
  </si>
  <si>
    <t>User should be able to create Split screen template with Shape object.
User should able to deliver it to the display successfully</t>
  </si>
  <si>
    <t>TC160</t>
  </si>
  <si>
    <t>JioSaavn</t>
  </si>
  <si>
    <t>Verify JioSaavn  object in Split Screen Template</t>
  </si>
  <si>
    <t xml:space="preserve">1. Launch JioSignage  Sign In Page : https://digitalsignage.jio.com/users/sign_in .
2. Login with valid credential.
3. Hover over content Management &gt; Click on Layouts.
4.  Click on Add new Layout.
5.  Enter Layout Name.
6.  Select Orientation and Resolution
7.  Enter a Split Screen template and click on Add.
8.  Go to edit Slide option.
9. Add JioSaavn object.
10. See in Preview and deliver to display
</t>
  </si>
  <si>
    <t>User should be able to create Split screen template with JioSaavn object.
User should able to deliver it to the display successfully</t>
  </si>
  <si>
    <t>TC161</t>
  </si>
  <si>
    <t>Instagram</t>
  </si>
  <si>
    <t>Verify Instagram object in Split Screen Template</t>
  </si>
  <si>
    <t xml:space="preserve">1. Launch JioSignage  Sign In Page : https://digitalsignage.jio.com/users/sign_in .
2. Login with valid credential.
3. Hover over content Management &gt; Click on Layouts.
4.  Click on Add new Layout.
5.  Enter Layout Name.
6.  Select Orientation and Resolution
7.  Enter a Split Screen template and click on Add.
8.  Go to edit Slide option.
9. Add Instagram object.
10. See in Preview and deliver to display
</t>
  </si>
  <si>
    <t>User should be able to create Split screen template with Instagram object.
User should able to deliver it to the display successfully</t>
  </si>
  <si>
    <t>TC162</t>
  </si>
  <si>
    <t>Cricket</t>
  </si>
  <si>
    <t>Verify Cricket object in Split Screen Template</t>
  </si>
  <si>
    <t xml:space="preserve">1. Launch JioSignage  Sign In Page : https://digitalsignage.jio.com/users/sign_in .
2. Login with valid credential.
3. Hover over content Management &gt; Click on Layouts.
4.  Click on Add new Layout.
5.  Enter Layout Name.
6.  Select Orientation and Resolution
7.  Enter a Split Screen template and click on Add.
8.  Go to edit Slide option.
9. Add Cricket object.
10. See in Preview and deliver to display
</t>
  </si>
  <si>
    <t>User should be able to create Split screen template with Cricket object.
User should able to deliver it to the display successfully</t>
  </si>
  <si>
    <t>TC163</t>
  </si>
  <si>
    <t>Facebook</t>
  </si>
  <si>
    <t>Verify Facebook object in Split Screen Template</t>
  </si>
  <si>
    <t xml:space="preserve">1. Launch JioSignage  Sign In Page : https://digitalsignage.jio.com/users/sign_in .
2. Login with valid credential.
3. Hover over content Management &gt; Click on Layouts.
4.  Click on Add new Layout.
5.  Enter Layout Name.
6.  Select Orientation and Resolution
7.  Enter a Split Screen template and click on Add.
8.  Go to edit Slide option.
9. Add Facebook object.
10. See in Preview and deliver to display
</t>
  </si>
  <si>
    <t>User should be able to create Split screen template with Facebook object.
User should able to deliver it to the display successfully</t>
  </si>
  <si>
    <t>TC164</t>
  </si>
  <si>
    <t>Verify HDMI object in Split Screen Template</t>
  </si>
  <si>
    <t xml:space="preserve">1. Launch JioSignage  Sign In Page : https://digitalsignage.jio.com/users/sign_in .
2. Login with valid credential.
3. Hover over content Management &gt; Click on Layouts.
4. Click on Add new Layout.
5. Enter Layout Name.
6. Select Orientation and Resolution
7. Enter a Split Screen template and click on Add.
8.  Go to edit Slide option.
9. Click on add  Object-&gt; select  HDMI object.
10. Create HDMI object.
11. See in preview and deliver to display
</t>
  </si>
  <si>
    <t>User should be able to create Split screen template with HDMI Object 
User should able to deliver it to the display successfully</t>
  </si>
  <si>
    <t>TC165</t>
  </si>
  <si>
    <t>External Web</t>
  </si>
  <si>
    <t>Verify External Web object in Split Screen Template</t>
  </si>
  <si>
    <t xml:space="preserve">1. Launch JioSignage  Sign In Page : https://digitalsignage.jio.com/users/sign_in .
2. Login with valid credential.
3. Hover over content Management &gt; Click on Layouts.
4.  Click on Add new Layout.
5.  Enter Layout Name.
6.  Select Orientation and Resolution
7.  Enter a Split Screen template and click on Add.
8.  Go to edit Slide option.
9. Add External web object &gt; Enter External Webpage URL in URL Field and click on Save
10. See in Preview and deliver to display
</t>
  </si>
  <si>
    <t>User should be able to create Split screen template with External web object.
User should able to deliver it to the display successfully</t>
  </si>
  <si>
    <t>TC166</t>
  </si>
  <si>
    <t>WebCamera</t>
  </si>
  <si>
    <t>Verify WebCamera object in Split Screen Template</t>
  </si>
  <si>
    <t xml:space="preserve">1. Launch JioSignage  Sign In Page : https://digitalsignage.jio.com/users/sign_in .
2. Login with valid credential.
3. Hover over content Management &gt; Click on Layouts.
4.  Click on Add new Layout.
5.  Enter Layout Name.
6.  Select Orientation and Resolution
7.  Enter a Split Screen template and click on Add.
8.  Go to edit Slide option.
9. Add Web camera object.
10. Preview and deliver it to display
</t>
  </si>
  <si>
    <t>User should be able to create Split screen template with Web camera object.
User should able to deliver it to the display successfully</t>
  </si>
  <si>
    <t>TC167</t>
  </si>
  <si>
    <t>Clock</t>
  </si>
  <si>
    <t>Verify Clock object in Split Screen Template</t>
  </si>
  <si>
    <t xml:space="preserve">1. Launch JioSignage  Sign In Page : https://digitalsignage.jio.com/users/sign_in .
2. Login with valid credential.
3. Hover over content Management &gt; Click on Layouts.
4.  Click on Add new Layout.
5.  Enter Layout Name.
6.  Select Orientation and Resolution
7.  Enter a Split Screen template and click on Add.
8.  Go to edit Slide option.
9. Add Clock object Click on Save
10. See in Preview and deliver to display
</t>
  </si>
  <si>
    <t>User should be able to create Split screen template with Clock object.
User should able to deliver it to the display successfully</t>
  </si>
  <si>
    <t>TC168</t>
  </si>
  <si>
    <t>Weather</t>
  </si>
  <si>
    <t>Verify Weather object in Split Screen Template</t>
  </si>
  <si>
    <t xml:space="preserve">1. Launch JioSignage  Sign In Page : https://digitalsignage.jio.com/users/sign_in .
2. Login with valid credential.
3. Hover over content Management &gt; Click on Layouts.
4.  Click on Add new Layout.
5.  Enter Layout Name.
6.  Select Orientation and Resolution
7.  Enter a Split Screen template and click on Add.
8.  Go to edit Slide option.
9. Add Weather object &gt; Click on Save
10. See in Preview and deliver to display
</t>
  </si>
  <si>
    <t>User should be able to create Split screen template with Weather object.
User should able to deliver it to the display successfully</t>
  </si>
  <si>
    <t>TC169</t>
  </si>
  <si>
    <t>Verify Button Box object in Split Screen Template</t>
  </si>
  <si>
    <t xml:space="preserve">1. Launch JioSignage  Sign In Page : https://digitalsignage.jio.com/users/sign_in .
2. Login with valid credential.
3. Hover over content Management &gt; Click on Layouts.
4.  Click on Add new Layout.
5.  Enter Layout Name.
6.  Select Orientation and Resolution
7.  Enter a Split Screen template and click on Add.
8.  Go to edit Slide option.
9. Add Button Box object.
10.  See in Preview and deliver to display
</t>
  </si>
  <si>
    <t>User should be able to create Split screen template with Button Box object.
User should able to deliver it to the display successfully</t>
  </si>
  <si>
    <t>TC170</t>
  </si>
  <si>
    <t>Verify Button object in Split Screen Template</t>
  </si>
  <si>
    <t>1. Launch JioSignage  Sign In Page : https://digitalsignage.jio.com/users/sign_in .
2. Login with valid credential.
3. Hover over content Management &gt; Click on Layouts.
4.  Click on Add new Layout.
5.  Enter Layout Name.
6.  Select Orientation and Resolution
7.  Enter a Split Screen template and click on Add.
8.  Go to edit Slide option
9. Click on button object
10. Enter any action name for the button object
11.  Click on "Area/object where action is set" dropdown button
12. User should able to see the object name that added initially
13. Click on "Action" dropdown button
14. Select any Action
15. Save and preview.
16. Deliver it to display</t>
  </si>
  <si>
    <t>User should be able to create Split screen template with Button object.
User should able to deliver it to the display successfully</t>
  </si>
  <si>
    <t>TC171</t>
  </si>
  <si>
    <t>Weather Warning</t>
  </si>
  <si>
    <t>Verify Weather Warning Onscreen text object in Split Screen Template</t>
  </si>
  <si>
    <t xml:space="preserve">1. Launch JioSignage  Sign In Page : https://digitalsignage.jio.com/users/sign_in .
2. Login with valid credential.
3. Hover over content Management &gt; Click on Layouts.
4.  Click on Add new Layout.
5.  Enter Layout Name.
6.  Select Orientation and Resolution
7.  Enter a Split Screen template and click on Add.
8.  Go to edit Slide option.
9. Add Weather Warning onscreen text object.
10. See in Preview and deliver to display
</t>
  </si>
  <si>
    <t>User should be able to create Split screen template with Weather warning onscreen text object.
User should able to deliver it to the display successfully</t>
  </si>
  <si>
    <t>TC172</t>
  </si>
  <si>
    <t>Thomas Cook</t>
  </si>
  <si>
    <t>Verify Thomas Cook Feed object in Split Screen Template</t>
  </si>
  <si>
    <t xml:space="preserve">1. Launch JioSignage  Sign In Page : https://digitalsignage.jio.com/users/sign_in .
2. Login with valid credential.
3. Hover over content Management &gt; Click on Layouts.
4.  Click on Add new Layout.
5.  Enter Layout Name.
6.  Select Orientation and Resolution
7.  Enter a Split Screen template and click on Add.
8.  Go to edit Slide option.
9. Add Thomas Coock object &gt; Click on Save
10.  See in Preview and deliver to display
</t>
  </si>
  <si>
    <t>User should be able to create Split screen template with Thomas Cook object.
User should able to deliver it to the display successfully</t>
  </si>
  <si>
    <t>TC173</t>
  </si>
  <si>
    <t>Queue Management</t>
  </si>
  <si>
    <t>Verify Queue ManagementFeed object in Split Screen Template</t>
  </si>
  <si>
    <t>1. Launch JioSignage  Sign In Page : https://digitalsignage.jio.com/users/sign_in .
2. Login with valid credential.
3. Hover over content Management &gt; Click on Layouts.
4.  Click on Add new Layout.
5.  Enter Layout Name.
6.  Select Orientation and Resolution
7.  Enter a Split Screen template and click on Add.
8.  Go to edit Slide option.
9. Add Queue  object.
10. See in Preview and deliver to display</t>
  </si>
  <si>
    <t>User should be able to create Split screen template with Queue Management object.
User should able to deliver it to the display successfully</t>
  </si>
  <si>
    <t>TC174</t>
  </si>
  <si>
    <t>Multple Slide</t>
  </si>
  <si>
    <t>Verify Multiple Slide object in Split Screen Template</t>
  </si>
  <si>
    <t>1. Launch JioSignage  Sign In Page : https://digitalsignage.jio.com/users/sign_in .
2. Login with valid credential.
3. Hover over content Management &gt; Click on Layouts.
4.  Click on Add new Layout.
5.  Enter Layout Name.
6.  Select Orientation and Resolution
7.  Enter a Split Screen template and click on Add.
8.  Go to edit Slide option.
9. Click on Multiple Slide Object.
10.  Set Duration, Transition effect and position.
11. Drag and drop any image.
12. Click on add Slide &gt; Drag and drop another image /Video.
13. Click on Save and Preview.
14. Deliver it to Display</t>
  </si>
  <si>
    <t>User should be able to create Split screen template with Multiple Slide object.
User should able to deliver it to the display successfully</t>
  </si>
  <si>
    <t>TC176</t>
  </si>
  <si>
    <t>On Screen Text Object</t>
  </si>
  <si>
    <t>Verify input text field on "On Screen Text "Object</t>
  </si>
  <si>
    <t>1. Launch JioSignage  Sign In Page : https://digitalsignage.jio.com/users/sign_in .
2. Login with valid credential.
3. Hover over content Management &gt; Click on Layouts.
4. Click on Add new Layout.
5.  Enter Layout Name.
6.  Select Orientation and Resolution
7.  Enter a Blank template and click on Add.
8.  Go to edit Slide option.
9. Create Onscreen Text Object.
10. Enter following text in Text Field " ~!@#$%^&amp;*()_+`1234567890-=qwertyuiop[]\{}|QWERTYUIOPASDFGHJKL:"asdfghjkl;'zxcvbnm,./ZXCVBNM&lt;&gt;?"
12. Save .
13. Preview.
14. Close .
15. Relaunch same Template and click on Edit page.
16. Verify Slide and its Layout</t>
  </si>
  <si>
    <t>Verify that OnScreenText object is still present in the slide.
Verify that entered text is also present in the Text object "Text" field.</t>
  </si>
  <si>
    <t>test_editSlidePage_AddObject_AddText_Custom</t>
  </si>
  <si>
    <t>TC175</t>
  </si>
  <si>
    <t>Text Object</t>
  </si>
  <si>
    <t>Verify input text field on Text Object</t>
  </si>
  <si>
    <t>1. Launch JioSignage  Sign In Page : https://digitalsignage.jio.com/users/sign_in .
2. Login with valid credential.
3. Hover over content Management &gt; Click on Layouts.
4. Click on Add new Layout.
5.  Enter Layout Name.
6.  Select Orientation and Resolution
7.  Enter a Blank template and click on Add.
8.  Go to edit Slide option.
9. Create Text Object.
10. Enter following text in Text Field " ~!@#$%^&amp;*()_+`1234567890-=qwertyuiop[]\{}|QWERTYUIOPASDFGHJKL:"asdfghjkl;'zxcvbnm,./ZXCVBNM&lt;&gt;?"
11. Save .
12. Preview.
13. Close .
14. Relaunch same Template and click on Edit page.
15 Observe Slide and its Layout</t>
  </si>
  <si>
    <t>Verify that Text object is still present in the slide.
Verify that entered text is also present in the Text object "Text" field.</t>
  </si>
  <si>
    <t>TC177</t>
  </si>
  <si>
    <t>ZIP Object</t>
  </si>
  <si>
    <t>Verify user is able to create a ZIP object and able to deliver to display</t>
  </si>
  <si>
    <t>1. Launch JioSignage  Sign In Page : https://digitalsignage.jio.com/users/sign_in .
2. Login with valid credential.
3. Go to Layout page.
4. Create ZIP Object.
5. Verify user able to create ZIP object and able to deliver to the display</t>
  </si>
  <si>
    <t>Verify user is able to create ZIp Object and able to deliver to the display</t>
  </si>
  <si>
    <t>TC178</t>
  </si>
  <si>
    <t>Verify ZIP file object in Split Screen Template</t>
  </si>
  <si>
    <t xml:space="preserve">1. Launch JioSignage  Sign In Page : https://digitalsignage.jio.com/users/sign_in .
2. Login with valid credential.
3. Go to Layout page.
4. Create Split screen Template.
5. Add ZIP file object.
6. Verify user is able to add ZIP file  object successfully &amp; can deliver it to display.
</t>
  </si>
  <si>
    <t>User should be able to create Split screen template with ZIP file object.
User should able to deliver it to the display successfully</t>
  </si>
  <si>
    <t>TC179</t>
  </si>
  <si>
    <t>Create Layout From Shared Folder</t>
  </si>
  <si>
    <t>Verify user is able to create a template with shared folder</t>
  </si>
  <si>
    <t>1. Launch JioSignage  Sign In Page : https://digitalsignage.jio.com/users/sign_in .
2. Login with valid credential.
3. Hover over content Management &gt; Click on Layouts.
4. Click on Add Folder
5. Enter Folder Name&gt; Click on Shared and click on Add. 
6. Click on Add new Layout.
7. Enter Layout Name.
8. Select Orientation and Resolution
9. Enter a Blank Screen template and click on Add.
10. Create any object &gt; Click on Save&gt; Preview and deliver to Display.</t>
  </si>
  <si>
    <t>User should be able to create a template from Shared folder as well</t>
  </si>
  <si>
    <t>TC180</t>
  </si>
  <si>
    <t xml:space="preserve">Modify Text  Object </t>
  </si>
  <si>
    <t>Verify user able to access all the option in the text object like Text field/aligned option/Letter style format/Font style/Font size/Letter spacing/Line height/Rotation/Vertical center/Horizontal center/Full screen/Position/Size/Aspect ratio/Background image field/Background color/Stretch in display area</t>
  </si>
  <si>
    <t>1. Launch JioSignage (https://digitalsignage.jio.com/users/sign_in) in browser.
2. Login with valid credential.
3. Click on Content management&gt;&gt;Click on Layout
4. Click on Add new layout(+) icon
5. Enter any layout name
6. Select the radio button like Horizontal/Vertical and Select the Resolution
7. Select any template like Blank/A template for playinng video/template for splitting the screen
8. Click on Add
9. Click on Edit
10. Observe the Edit Layout screen.
11. Click on Add object option.
12. Select Text object &gt; observe the right side menu options
13. verify that all options are working properly</t>
  </si>
  <si>
    <t>&gt;user should able to modify and save all the text object options like Text field/aligned option/Letter style format/Font style/Font size/Letter spacing/Line height/Rotation/Vertical center/Horizontal center/Full screen/Position/Size/Aspect ratio/Background image field/Background color/Stretch in display area</t>
  </si>
  <si>
    <t>TC181</t>
  </si>
  <si>
    <t>image object</t>
  </si>
  <si>
    <t>Modify image object</t>
  </si>
  <si>
    <t>Verify user able to access all the option in the image object like Layer/Text field/aligned option/Letter style format/Font style/Font size/Letter spacing/Line height/Rotation/Vertical center/Horizontal center/Full screen/Position/Size/Aspect ratio/Background image field/Background color/Stretch in display area/Create button inside</t>
  </si>
  <si>
    <t>1. Launch JioSignage (https://digitalsignage.jio.com/users/sign_in) in browser.
2. Login with valid credential.
3. Click on Content management&gt;&gt;Click on Layout
4. Click on Add new layout(+) icon
5. Enter any layout name
6. Select the radio button like Horizontal/Vertical and Select the Resolution
7. Select any template like Blank/template for splitting the screen
8. Click on Add
9. Click on Edit
10. Observe the Edit Layout screen
11. Click on Add object option.
12. Select image object &gt; observe the right side menu options
13. Verify the all options are working or not</t>
  </si>
  <si>
    <t>&gt;User should able to modify all the image  object options like Layer/Text field/aligned option/Letter style format/Font style/Font size/Letter spacing/Line height/Rotation/Vertical center/Horizontal center/Full screen/Position/Size/Aspect ratio/Background image field/Background color/Stretch in display area/Create button inside</t>
  </si>
  <si>
    <t>TC182</t>
  </si>
  <si>
    <t>Clickable video</t>
  </si>
  <si>
    <t>Create a video object and add a video which can have action button , which opens a new webpage on click with all different settings available and deliver to display</t>
  </si>
  <si>
    <t>1. Launch JioSignage  Sign In Page : https://digitalsignage.jio.com/users/sign_in .
2. Login with valid credential.
3. Hover over content Management &gt; Click on Layouts.
4. Click on Add new Layout.
5. Enter Layout Name.
6. Select Orientation and Resolution
7. Enter a Blank Screen template and click on Add.
8. Go to edit Slide option.
9. Click on add  Object-&gt; select Video object
10. Drag and drop any video.
11. Click on Make Clickable Video.
12. Select Action type as Show External Webpage.
13. Enter URL of the Web page in the URL field available under action Detail.
14. Save and preview.
15. Deliver to display</t>
  </si>
  <si>
    <t>User should be able to create a video object and add a video which can have action button , which opens a new webpage on click with all different settings available on the page</t>
  </si>
  <si>
    <t>TC183</t>
  </si>
  <si>
    <t>Create a video object and add a video which can have action button , which opens a playlist (Image/video)/multiple slide on click with all different settings available. &amp; Deliver to display</t>
  </si>
  <si>
    <t>1. Launch JioSignage  Sign In Page : https://digitalsignage.jio.com/users/sign_in .
2. Login with valid credential.
3. Hover over content Management &gt; Click on Layouts.
4. Click on Add new Layout.
5. Enter Layout Name.
6. Select Orientation and Resolution
7. Enter a Blank Screen template and click on Add.
8. Go to edit Slide option.
9. Click on add  Object-&gt; select Video object
10. Drag and drop any video.
11. Click on Make Clickable Video.
12. Select Action type as Show multiple Slide Show.
13. In Action Detail drag and drop any image
14. Click on Add Slide.
15. Drag any video.
16 Click on Save.
17. Deliver the content to display</t>
  </si>
  <si>
    <t>User should be able to create a video object and add a video which can have action button , which opens a video/image playlist on click with all different settings available on the page</t>
  </si>
  <si>
    <t>TC184</t>
  </si>
  <si>
    <t>Video object</t>
  </si>
  <si>
    <t>Modify Video object</t>
  </si>
  <si>
    <t>Verify user able to access all the option in the video object like Delete button/Fit to screen/Audio on/Auto play/Make clickable video/align options/Position/Size/Aspect ratio</t>
  </si>
  <si>
    <t>1. Launch JioSignage  Sign In Page : https://digitalsignage.jio.com/users/sign_in .
2. Login with valid credential.
3.  Hover over Layout.
4.  Click on Layouts.
5.  Click on Add new Layout.
6.  Enter Layout Name.
7.  Select Orientation and Resolution
8.  Enter a template and click on Add.
9.  Go to edit Slide option.
10.  Click on add object option &gt; select Video.
11.   Add video object
12.   Observe the right side menu options are working properly</t>
  </si>
  <si>
    <t>User should modify all the option in the video object like Delete button/Fit to screen/Audio on/Auto play/Make clickable video/align options/Position/Size/Aspect ratio</t>
  </si>
  <si>
    <t>TC185</t>
  </si>
  <si>
    <t>Onscreen text object</t>
  </si>
  <si>
    <t xml:space="preserve">Modify Onscreen text </t>
  </si>
  <si>
    <t>Verify user able to access all the option in the onscreen text object like speed/Transition effect/Text border/Use display name/Add text/aligned option/Letter style format/Font style/Font size/Letter spacing/Line height/Rotation/Vertical center/Horizontal center/Full screen/Position/Size/Aspect ratio/Background image field/Background color/Stretch in display area/Create button inside</t>
  </si>
  <si>
    <t>1. Launch JioSignage (https://digitalsignage.jio.com/users/sign_in) in browser.
2. Login with valid credential.
3. Click on Content management&gt;&gt;Click on Layout
4. Click on Add new layout(+) icon
5. Enter any layout name
6. Select the radio button like Horizontal/Vertical and Select the Resolution
7. Select any template like Blank/template for splitting the screen
8. Click on Add
9. Click on Edit
10. Observe the Edit Layout screen
11. Click on Add object option.
12. Select Onscreen text object &gt; observed the right side menu options are working properly</t>
  </si>
  <si>
    <t>Verify user should able to modify all the options in the onscreen text object like speed/Transition effect/Text border/Use display name/Add text/aligned option/Letter style format/Font style/Font size/Letter spacing/Line height/Rotation/Vertical center/Horizontal center/Full screen/Position/Size/Aspect ratio/Background image field/Background color/Stretch in display area</t>
  </si>
  <si>
    <t>TC186</t>
  </si>
  <si>
    <t>RSS Feed object</t>
  </si>
  <si>
    <t>Modify RSS feed</t>
  </si>
  <si>
    <t>Verify user able to access all the option in the Rss feed object like Channels/Category/Custom feeds/Refresh time/Rss type/Speed/Ticker/Text size/Text color/aligned option/Vertical center/Horizontal center/Position/Size/Aspect ratio/Background image field/Background color</t>
  </si>
  <si>
    <t>1. Launch JioSignage (https://digitalsignage.jio.com/users/sign_in) in browser.
2. Login with valid credential.
3. Click on Content management&gt;&gt;Click on Layout
4. Click on Add new layout(+) icon
5. Enter any layout name
6. Select the radio button like Horizontal/Vertical and Select the Resolution
7. Select any template like Blank/template for splitting the screen
8. Click on Add
9. Click on Edit
10. Observe the Edit Layout screen
11. Click on Add object option.
12. Select RSS feed object &gt; observed the right side menu options are working properly</t>
  </si>
  <si>
    <t>Verify user should able to modify all the option in the Rss feed object like Channels/Category/Custom feeds/Refresh time/Rss type/Speed/Ticker/Text size/Text color/aligned option/Vertical center/Horizontal center/Position/Size/Aspect ratio/Background image field/Background color</t>
  </si>
  <si>
    <t>TC187</t>
  </si>
  <si>
    <t>Youtube Object</t>
  </si>
  <si>
    <t>Modify Add YouTube</t>
  </si>
  <si>
    <t>Verify user able to access all the option in the Youtube object like Delete URL/Audio ON/Vertical center/Horizontal center/Position/Size/Aspect ratio</t>
  </si>
  <si>
    <t>1. Launch JioSignage (https://digitalsignage.jio.com/users/sign_in) in browser.
2. Login with valid credential.
3. Click on Content management&gt;&gt;Click on Layout
4. Click on Add new layout(+) icon
5. Enter any layout name
6. Select the radio button like Horizontal/Vertical and Select the Resolution
7. Select any template like Blank/template for splitting the screen
8. Click on Add
9. Click on Edit
10. Observe the Edit Layout screen
11. Click on Add object option.
12. Select YouTube object 
13. Check all the right side menu options are working properly</t>
  </si>
  <si>
    <t>User should able to access all the option in the Youtube object like Delete URL/Audio ON/Vertical center/Horizontal center/Position/Size/Aspect ratio</t>
  </si>
  <si>
    <t>TC188</t>
  </si>
  <si>
    <t>Google Object</t>
  </si>
  <si>
    <t>Modify Google object</t>
  </si>
  <si>
    <t>Verify user able to access all the option in the Google object like Delete URL/Vertical center/Horizontal center/Position/Size/Aspect ratio</t>
  </si>
  <si>
    <t>1. Launch JioSignage (https://digitalsignage.jio.com/users/sign_in) in browser.
2. Login with valid credential.
3. Click on Content management&gt;&gt;Click on Layout
4. Click on Add new layout(+) icon
5. Enter any layout name
6. Select the radio button like Horizontal/Vertical and Select the Resolution
7. Select any template like Blank/A template for splitting the screen
8. Click on Add
9. Click on Edit
10. Observe the Edit Layout screen
11. Click on Add object option.
12. Select Google object &gt; Enter the embeded url in url field
11. Check all the right side menu options are working</t>
  </si>
  <si>
    <t>User should able to modify all the option in the Google object like Delete URL/Vertical center/Horizontal center/Position/Size/Aspect ratio</t>
  </si>
  <si>
    <t>TC189</t>
  </si>
  <si>
    <t>Shape Object</t>
  </si>
  <si>
    <t>Modify Shape object options</t>
  </si>
  <si>
    <t>Verify user able to access all the option in the Shape object like Select the shape/Shape color/Border color/Frame width/Opacity/Rotation/Vertical center/Horizontal center/Position/Size/Aspect ratio</t>
  </si>
  <si>
    <t>1. Launch JioSignage (https://digitalsignage.jio.com/users/sign_in) in browser.
2. Login with valid credential.
3. Click on Content management&gt;&gt;Click on Layout
4. Click on Add new layout(+) icon
5. Enter any layout name
6. Select the radio button like Horizontal/Vertical and Select the Resolution
7. Select any template like Blank/A template for splitting the screen
8. Click on Add
9. Click on Edit
10. Observe the Edit Layout screen
11. Click on Add object option.
12. Select Shape object 
13. Check the right side menu options are working properly</t>
  </si>
  <si>
    <t>User should able to access all the option in the Shape object like Select the shape/Shape color/Border color/Frame width/Opacity/Rotation/Vertical center/Horizontal center/Position/Size/Aspect ratio</t>
  </si>
  <si>
    <t>TC190</t>
  </si>
  <si>
    <t>JioSaavn Object</t>
  </si>
  <si>
    <t>Modify JioSaavn object options</t>
  </si>
  <si>
    <t>Verify user able to access all the option in the JioSaavn object like Language/Playlists/Songs/Vertical center/Horizontal center/Position/Size/Aspect ratio</t>
  </si>
  <si>
    <t>1. Launch JioSignage  Sign In Page : https://digitalsignage.jio.com/users/sign_in .
2. Login with valid credenti
3. Click on Content management&gt;&gt;Click on Layout
4. Click on Add new layout(+) icon
5. Enter any layout name
6. Select the radio button like Horizontal/Vertical and Select the Resolution
7. Select any template like Blank/A template for splitting the screen
8. Click on Add
9. Click on Edit
10. Observe the Edit Layout screen
11 Click on Add object option.
12. Select JioSaavn object 
13. Check all the right side menu options are working properly</t>
  </si>
  <si>
    <t>User should able to access all the option in the JioSaavn object like Language/Playlists/Songs/Vertical center/Horizontal center/Position/Size/Aspect ratio</t>
  </si>
  <si>
    <t>TC191</t>
  </si>
  <si>
    <t>Instagram Object</t>
  </si>
  <si>
    <t>Modify  Instagram object options</t>
  </si>
  <si>
    <t>Verify user able to access all the option in the Instagram object options like Login instagram button/Insta users/Post duration/Refresh time/Vertical center/Horizontal center/Position/Size/Aspect ratio</t>
  </si>
  <si>
    <t>1. Launch JioSignage  Sign In Page : https://digitalsignage.jio.com/users/sign_in .
2. Login with valid credenti
3. Click on Content management&gt;&gt;Click on Layout
4. Click on Add new layout(+) icon
5. Enter any layout name
6. Select the radio button like Horizontal/Vertical and Select the Resolution
7. Select any template like Blank/A template for splitting the screen
8. Click on Add
9. Click on Edit
10. Observe the Edit Layout screen
11 Click on Add object option.
12. Select instagram object &gt; observe.</t>
  </si>
  <si>
    <t>User should able to modify all the options in the Instagram object options like Login instagram button/Insta users/Post duration/Refresh time/Vertical center/Horizontal center/Position/Size/Aspect ratio</t>
  </si>
  <si>
    <t>TC192</t>
  </si>
  <si>
    <t>Document Object</t>
  </si>
  <si>
    <t>Modify Document object options</t>
  </si>
  <si>
    <t>Verify user able to access all the option in the Document object options like Delete document file button/File type/Slide duration/Vertical center/Horizontal center/Full screen/Position/Size/Aspect ratio</t>
  </si>
  <si>
    <t>1. Launch JioSignage  Sign In Page : https://digitalsignage.jio.com/users/sign_in .
2. Login with valid credenti
3. Click on Content management&gt;&gt;Click on Layout
4. Click on Add new layout(+) icon
5. Enter any layout name
6. Select the radio button like Horizontal/Vertical and Select the Resolution
7. Select any template like Blank/A template for splitting the screen
8. Click on Add
9. Click on Edit
10. Observe the Edit Layout screen
11 Click on Add object option.
12. Select Document object 
13. Check all the right side menu options are working correctly or not</t>
  </si>
  <si>
    <t>User should able to modify all the option in the Document object options like Delete document file button/File type/Slide duration/Vertical center/Horizontal center/Full screen/Position/Size/Aspect ratio</t>
  </si>
  <si>
    <t>TC193</t>
  </si>
  <si>
    <t>FTP Object</t>
  </si>
  <si>
    <t>Modify FTP object options</t>
  </si>
  <si>
    <t>Verify user able to access all the option in the FTP object options like Slide duration/Vertical center/Horizontal center/Full screen/Position/Size/Aspect ratio</t>
  </si>
  <si>
    <t>1. Launch JioSignage  Sign In Page : https://digitalsignage.jio.com/users/sign_in .
2. Login with valid credenti
3. Click on Content management&gt;&gt;Click on Layout
4. Click on Add new layout(+) icon
5. Enter any layout name
6. Select the radio button like Horizontal/Vertical and Select the Resolution
7. Select any template like Blank/A template for splitting the screen
8. Click on Add
9. Click on Edit
10. Observe the Edit Layout screen
11 Click on Add object option.
12. Select FTP object 
13. Drag and drop an FTP document to the slide
14. Check all the right side menu options are working correctly or not</t>
  </si>
  <si>
    <t>TC194</t>
  </si>
  <si>
    <t>Cricket Object</t>
  </si>
  <si>
    <t>Modify Cricket object options</t>
  </si>
  <si>
    <t>Verify user able to access all the option in the Cricket object options like card view/ticker/flash/Vertical center/Horizontal center/Full screen/Position/Size/Aspect ratio/Font color/Background color</t>
  </si>
  <si>
    <t>1. Launch JioSignage  Sign In Page : https://digitalsignage.jio.com/users/sign_in .
2. Login with valid credenti
3. Click on Content management&gt;&gt;Click on Layout
4. Click on Add new layout(+) icon
5. Enter any layout name
6. Select the radio button like Horizontal/Vertical and Select the Resolution
7. Select any template like Blank/A template for splitting the screen
8. Click on Add
9. Click on Edit
10. Observe the Edit Layout screen
11 Click on Add object option.
12. Select Cricket object 
13. Check all the right side menu options are working correctly or not</t>
  </si>
  <si>
    <t>TC195</t>
  </si>
  <si>
    <t>Facebook Object</t>
  </si>
  <si>
    <t>Modify Facebook object options</t>
  </si>
  <si>
    <t>Verify user able to access all the option in the Facebook object options like Login facebook/Delete user/Facebook user/Image post duration/Refresh time/Vertical center/Horizontal center/Full screen/Position/Size/Aspect ratio</t>
  </si>
  <si>
    <t>1. Launch JioSignage  Sign In Page : https://digitalsignage.jio.com/users/sign_in .
2. Login with valid credenti
3. Click on Content management&gt;&gt;Click on Layout
4. Click on Add new layout(+) icon
5. Enter any layout name
6. Select the radio button like Horizontal/Vertical and Select the Resolution
7. Select any template like Blank/A template for splitting the screen
8. Click on Add
9. Click on Edit
10. Observe the Edit Layout screen
11 Click on Add object option.
12. Select Facebook object 
13. Login using correct login credential
13. Check all the right side menu options are working correctly or not</t>
  </si>
  <si>
    <t>User should able to modify all the options in the Facebook object options like Login facebook/Delete user/Facebook user/Image post duration/Refresh time/Vertical center/Horizontal center/Full screen/Position/Size/Aspect ratio</t>
  </si>
  <si>
    <t>TC196</t>
  </si>
  <si>
    <t>HDMI Object</t>
  </si>
  <si>
    <t>Modify HDMI object options</t>
  </si>
  <si>
    <t>Verify user able to access all the option in the HDMI object options like Select port/Audio ON/Vertical center/Horizontal center/Full screen/Position/Size/Aspect ratio</t>
  </si>
  <si>
    <t>1. Launch JioSignage  Sign In Page : https://digitalsignage.jio.com/users/sign_in .
2. Login with valid credenti
3. Click on Content management&gt;&gt;Click on Layout
4. Click on Add new layout(+) icon
5. Enter any layout name
6. Select the radio button like Horizontal/Vertical and Select the Resolution
7. Select any template like Blank/A template for splitting the screen
8. Click on Add
9. Click on Edit
10. Observe the Edit Layout screen
11 Click on Add object option.
12. Select HDMI object 
13. Check all the right side menu options are working correctly or not</t>
  </si>
  <si>
    <t>User should able to modify all the option in the HDMI object options like Select port/Audio ON/Vertical center/Horizontal center/Full screen/Position/Size/Aspect ratio</t>
  </si>
  <si>
    <t>TC197</t>
  </si>
  <si>
    <t>External webpage  Object</t>
  </si>
  <si>
    <t>Modify External object options</t>
  </si>
  <si>
    <t>Verify user able to access all the option in the External webpage object options like Delete URL/Allow user action/Vertical center/Horizontal center/Position/Size/Aspect ratio</t>
  </si>
  <si>
    <t>1. Launch JioSignage  Sign In Page : https://digitalsignage.jio.com/users/sign_in .
2. Login with valid credenti
3. Click on Content management&gt;&gt;Click on Layout
4. Click on Add new layout(+) icon
5. Enter any layout name
6. Select the radio button like Horizontal/Vertical and Select the Resolution
7. Select any template like Blank/A template for splitting the screen
8. Click on Add
9. Click on Edit
10. Observe the Edit Layout screen
11 Click on Add object option.
12. Select External Webpage object 
13. Add the URL
14. Check all the right side menu options are working correctly or not</t>
  </si>
  <si>
    <t>User should able to modify all the option in the External webpage object options like Delete URL/Allow user action/Vertical center/Horizontal center/Position/Size/Aspect ratio</t>
  </si>
  <si>
    <t>TC198</t>
  </si>
  <si>
    <t>Webcamera Object</t>
  </si>
  <si>
    <t>Modify webcamera object options</t>
  </si>
  <si>
    <t>Verify user able to access all the option in the webcamera object options like Delete URL/Vertical center/Horizontal center/Position/Size/Aspect ratio</t>
  </si>
  <si>
    <t>User should able to modify all the options in the webcamera object options like Delete URL/Vertical center/Horizontal center/Position/Size/Aspect ratio</t>
  </si>
  <si>
    <t>TC199</t>
  </si>
  <si>
    <t>Clock Object</t>
  </si>
  <si>
    <t>Modify Clock object options</t>
  </si>
  <si>
    <t>Verify user able to access all the option in the Clock object options like Timezone/Time format/Font size/Font color/Vertical center/Horizontal center/Position/Size/Aspect ratio/Background image/Background color/Stretch in display area</t>
  </si>
  <si>
    <t>1. Launch JioSignage  Sign In Page : https://digitalsignage.jio.com/users/sign_in .
2. Login with valid credenti
3. Click on Content management&gt;&gt;Click on Layout
4. Click on Add new layout(+) icon
5. Enter any layout name
6. Select the radio button like Horizontal/Vertical and Select the Resolution
7. Select any template like Blank/A template for splitting the screen
8. Click on Add
9. Click on Edit
10. Observe the Edit Layout screen
11 Click on Add object option.
12. Select Clock object 
13. Check all the right side menu options are working correctly or not</t>
  </si>
  <si>
    <t>User should able to modify all the options in the Clock object options like Timezone/Time format/Font size/Font color/Vertical center/Horizontal center/Position/Size/Aspect ratio/Background image/Background color/Stretch in display area</t>
  </si>
  <si>
    <t>TC200</t>
  </si>
  <si>
    <t>Weather widget Object</t>
  </si>
  <si>
    <t>Modify Weather widget object options</t>
  </si>
  <si>
    <t>Verify user able to access all the option in the Weather widget object options like Enter location/Forecast/Unit/Font color/Vertical center/Position/Size/Aspect ratio//Background image/Background color/Stretch in display area</t>
  </si>
  <si>
    <t>1. Launch JioSignage  Sign In Page : https://digitalsignage.jio.com/users/sign_in .
2. Login with valid credenti
3. Click on Content management&gt;&gt;Click on Layout
4. Click on Add new layout(+) icon
5. Enter any layout name
6. Select the radio button like Horizontal/Vertical and Select the Resolution
7. Select any template like Blank/A template for splitting the screen
8. Click on Add
9. Click on Edit
10. Observe the Edit Layout screen
11 Click on Add object option.
12. Select Weather widget object 
13. Check all the right side menu options are working correctly or not</t>
  </si>
  <si>
    <t>User should able to modify all the option in the Weather widget object options like Enter location/Forecast/Unit/Font color/Vertical center/Position/Size/Aspect ratio//Background image/Background color/Stretch in display area</t>
  </si>
  <si>
    <t>TC201</t>
  </si>
  <si>
    <t>Button Object</t>
  </si>
  <si>
    <t>Modify Button object options</t>
  </si>
  <si>
    <t>Verify user able to access all the option in the Button object options like Button name/Create home button/Area object where action is set/Action/Action name/Alignment options/Font style/Font size/Letter spacing/Line height/Rotation//Vertical center/Position/Size/Aspect ratio//Background image/Background color/Stretch in display area</t>
  </si>
  <si>
    <t>1. Launch JioSignage  Sign In Page : https://digitalsignage.jio.com/users/sign_in .
2. Login with valid credenti
3. Click on Content management&gt;&gt;Click on Layout
4. Click on Add new layout(+) icon
5. Enter any layout name
6. Select the radio button like Horizontal/Vertical and Select the Resolution
7. Select any template like Blank/A template for splitting the screen
8. Click on Add
9. Click on Edit
10. Observe the Edit Layout screen
11 Click on Add object option.
12. Add any of the object like image object&gt;&gt;Drag and drop one image to the slide
13. Select button object 
14. Check all the right side menu options are working correctly or not</t>
  </si>
  <si>
    <t>User should able to modify all the options in the Button object options like Button name/Create home button/Area object where action is set/Action/Action name/Alignment options/Font style/Font size/Letter spacing/Line height/Rotation//Vertical center/Position/Size/Aspect ratio//Background image/Background color/Stretch in display area</t>
  </si>
  <si>
    <t>TC202</t>
  </si>
  <si>
    <t>Button box Object</t>
  </si>
  <si>
    <t>Modify Button  box object options</t>
  </si>
  <si>
    <t>Verify user able to access all the option in the Button  box object options like Button box name/Alignment options/Font style/Font size/Letter spacing/Line height/Rotation//Vertical center/Horizontal center/Position/Size/Aspect ratio//Background image/Background color/Stretch in display area/Create button inside/Time until hidden</t>
  </si>
  <si>
    <t>1. Launch JioSignage  Sign In Page : https://digitalsignage.jio.com/users/sign_in .
2. Login with valid credenti
3. Click on Content management&gt;&gt;Click on Layout
4. Click on Add new layout(+) icon
5. Enter any layout name
6. Select the radio button like Horizontal/Vertical and Select the Resolution
7. Select any template like Blank/A template for splitting the screen
8. Click on Add
9. Click on Edit
10. Observe the Edit Layout screen
11 Click on Add object option.
12. Select button box object 
13. Check all the right side menu options are working correctly or not</t>
  </si>
  <si>
    <t>User able to modify all the option in the Button box object options like Button box name/Alignment options/Font style/Font size/Letter spacing/Line height/Rotation//Vertical center/Horizontal center/Position/Size/Aspect ratio//Background image/Background color/Stretch in display area/Create button inside/Time until hidden</t>
  </si>
  <si>
    <t>TC203</t>
  </si>
  <si>
    <t>Weather warning onscreen text Object</t>
  </si>
  <si>
    <t>Modify Weather warning onscreen text object options</t>
  </si>
  <si>
    <t>Verify user able to access all the option in the Weather warning onscreen text object options like speed//Font color/Vertical center/Position/Size/Aspect ratio//Background image/Background color/Stretch in display area</t>
  </si>
  <si>
    <t>1. Launch JioSignage  Sign In Page : https://digitalsignage.jio.com/users/sign_in .
2. Login with valid credenti
3. Click on Content management&gt;&gt;Click on Layout
4. Click on Add new layout(+) icon
5. Enter any layout name
6. Select the radio button like Horizontal/Vertical and Select the Resolution
7. Select any template like Blank/A template for splitting the screen
8. Click on Add
9. Click on Edit
10. Observe the Edit Layout screen
11 Click on Add object option.
12. Select Weather warning onscreen text object 
13. Check all the right side menu options are working correctly or not</t>
  </si>
  <si>
    <t>User should able to modify all the options in the Weather warning onscreen text object options like speed//Font color/Vertical center/Position/Size/Aspect ratio//Background image/Background color/Stretch in display area</t>
  </si>
  <si>
    <t>TC204</t>
  </si>
  <si>
    <t>Layouts</t>
  </si>
  <si>
    <t>Video Object</t>
  </si>
  <si>
    <t>To verify content creation using Video object</t>
  </si>
  <si>
    <t>1. Launch JioSignage (https://digitalsignage.jio.com/users/sign_in) in browser.
2. Login with valid credential.
3. Select Layouts page from home screen via path : Dashboard &gt; Content Management &gt; Layouts.
4. Click on the add new Layouts option.
5. Enter the Layouts Name.
6. Select Blank Template -&gt; Add
7.Click Edit button on slide1
8. Click on Object.
9. Click on video object
10. Drag and drop video on video object rectangle
11. Click on save.
12. Preview content.
13. Validate content is showing correct video and with out any corruption/black screen/blank screen in preview</t>
  </si>
  <si>
    <t>User should be able to create content using video object</t>
  </si>
  <si>
    <t>test_addNewContent_WithVideoObject</t>
  </si>
  <si>
    <t>TC205</t>
  </si>
  <si>
    <t>FTP</t>
  </si>
  <si>
    <t>To verify content creation using FTP object</t>
  </si>
  <si>
    <t>1. Launch JioSignage (https://digitalsignage.jio.com/users/sign_in) in browser.
2. Login with valid credential.
3. Select Layouts page from home screen via path : Dashboard &gt; Content Management &gt; Layouts.
4. Click on the add new Layouts option.
5. Enter the Layouts Name.
6. Select Blank Template -&gt; Add
7.Click Edit button on slide1
8. Click on Object.
9. Click on FTP object 
10. Click on save.
11. Preview content.
12. Validate content is showing with out any corruption/black screen/blank screen in preview</t>
  </si>
  <si>
    <t>User should be able to create content with FTP object and able to preview it</t>
  </si>
  <si>
    <t>test_addNewContent_WithFTPObject</t>
  </si>
  <si>
    <t>TC206</t>
  </si>
  <si>
    <t>External webpage</t>
  </si>
  <si>
    <t>To verify content creation using External Webpage object</t>
  </si>
  <si>
    <t>1. Launch JioSignage (https://digitalsignage.jio.com/users/sign_in) in browser.
2. Login with valid credential.
3. Select Layouts page from home screen via path : Dashboard &gt; Content Management &gt; Layouts.
4. Click on the add new Layouts option.
5. Enter the Layouts Name.
6. Select Blank Template -&gt; Add
7.Click Edit button on slide1
8. Click on Object.
9. Click on External WebPage object 
10. Click on save.
11. Preview content.
12. Validate content is showing with out any corruption/black screen/blank screen in preview</t>
  </si>
  <si>
    <t>User should be able to create content with External  object and able to preview it</t>
  </si>
  <si>
    <t>test_addNewContent_WithExternalWebpageObject</t>
  </si>
  <si>
    <t>TC207</t>
  </si>
  <si>
    <t>To verify content creation using button object</t>
  </si>
  <si>
    <t>1. Launch JioSignage (https://digitalsignage.jio.com/users/sign_in) in browser.
2. Login with valid credential.
3. Select Layouts page from home screen via path : Dashboard &gt; Content Management &gt; Layouts.
4. Click on the add new Layouts option.
5. Enter the Layouts Name.
6. Select Blank Template -&gt; Add
7.Click Edit button on slide1
8. Click on Object.
9. Click on Button object 
10. Click on save.
11. Preview content.
12. Validate content is showing with out any corruption/black screen/blank screen in preview</t>
  </si>
  <si>
    <t>User should be able to create content with Button Object and able to preview it</t>
  </si>
  <si>
    <t>test_addNewContent_WithButtonObject</t>
  </si>
  <si>
    <t>TC208</t>
  </si>
  <si>
    <t xml:space="preserve">Button Box </t>
  </si>
  <si>
    <t>To verify content creation using button box object</t>
  </si>
  <si>
    <t>1. Launch JioSignage (https://digitalsignage.jio.com/users/sign_in) in browser.
2. Login with valid credential.
3. Select Layouts page from home screen via path : Dashboard &gt; Content Management &gt; Layouts.
4. Click on the add new Layouts option.
5. Enter the Layouts Name.
6. Select Blank Template -&gt; Add
7.Click Edit button on slide1
8. Click on Object.
9. Click on Button box object 
10. Click on save.
11. Preview content.
12. Validate content is showing with out any corruption/black screen/blank screen in preview</t>
  </si>
  <si>
    <t>User should be able to create content with Button box Object and able to preview it</t>
  </si>
  <si>
    <t>test_addNewContent_WithButtonBoxObject</t>
  </si>
  <si>
    <t>TC209</t>
  </si>
  <si>
    <t>To verify content creation using Clock object</t>
  </si>
  <si>
    <t>1. Launch JioSignage (https://digitalsignage.jio.com/users/sign_in) in browser.
2. Login with valid credential.
3. Select Layouts page from home screen via path : Dashboard &gt; Content Management &gt; Layouts.
4. Click on the add new Layouts option.
5. Enter the Layouts Name.
6. Select Blank Template -&gt; Add
7.Click Edit button on slide1
8. Click on Object.
9. Click on Clock object 
10. Click on save.
11. Preview content.
12. Validate content is showing with out any corruption/black screen/blank screen in preview</t>
  </si>
  <si>
    <t>User should be able to create content with Clock Object and able to preview it</t>
  </si>
  <si>
    <t>test_addNewContent_WithClockObject</t>
  </si>
  <si>
    <t>TC210</t>
  </si>
  <si>
    <t>Multislide Object</t>
  </si>
  <si>
    <t>To verify content creation using Multislide object</t>
  </si>
  <si>
    <t>1. Launch JioSignage (https://digitalsignage.jio.com/users/sign_in) in browser.
2. Login with valid credential.
3. Select Layouts page from home screen via path : Dashboard &gt; Content Management &gt; Layouts.
4. Click on the add new Layouts option.
5. Enter the Layouts Name.
6. Select Blank Template -&gt; Add
7.Click Edit button on slide1
8. Click on Object.
9. Click on multislide object
10. Drag and drop multiple (atleast 3) image on multislide object rectangle
11. Click on save.
12. Preview content.
13. Validate content is showing correct image and with out any corruption/black screen/blank screen in preview</t>
  </si>
  <si>
    <t>User should be able to create Multislide object and able to preview it</t>
  </si>
  <si>
    <t>test_addNewContent_WithMultiSlideObject</t>
  </si>
  <si>
    <t>Automation TC name</t>
  </si>
  <si>
    <t>Functional</t>
  </si>
  <si>
    <t>Send Approval</t>
  </si>
  <si>
    <t>For Layouts</t>
  </si>
  <si>
    <t>Check Send approve request for the Layouts</t>
  </si>
  <si>
    <t>Precondition:
1.Launch JioSignage  Sign In Page : https://digitalsignage.jio.com/users/sign_in .
2.Login with valid credential.
Test Steps:
1.Go to Layouts : Dashboard&gt; Content Management&gt; Layouts: Click on any random or chosen Layout&gt; Navigate to Expiry Option and edit its date and time.
2.Then navigate to Approval option and Select Request approval option.
3.Select approver from the dropdown list.
4.click on send button.</t>
  </si>
  <si>
    <t>&gt; Approval request sent successfully message should be observed on the screen.
&gt;Sent request should be observed on Layouts approval screen.</t>
  </si>
  <si>
    <t>For Playlist</t>
  </si>
  <si>
    <t>Check Send approve request for the playlist</t>
  </si>
  <si>
    <t>Precondition:
1.Launch JioSignage  Sign In Page : https://digitalsignage.jio.com/users/sign_in .
2.Login with valid credential.
Test Steps:
1.Navigate to Content Management page and then inside navigate to playlist &gt; create playlist &gt; add Layouts to playlist by drag and drop.
2.Click on save option.
3.click on Request for approval &gt; select approver &gt;send.</t>
  </si>
  <si>
    <t>&gt;User should able to send approval request for the playlist.
&gt;&gt;Sent request should be observed on Layouts approval screen.</t>
  </si>
  <si>
    <t>Layouts Approval</t>
  </si>
  <si>
    <t>Home screen</t>
  </si>
  <si>
    <t>Check Layouts Approval home screen</t>
  </si>
  <si>
    <t>Precondition:
1.Launch JioSignage  Sign In Page : https://digitalsignage.jio.com/users/sign_in .
2.Login with valid credential.
Test Steps:
1.Go to JioSignage home screen.
2.Select Layouts &gt; Select Layouts approval option from the dropdown.
3.Observe the screen.</t>
  </si>
  <si>
    <t>&gt;Layouts approval management screen should be observed with below 3 options :
Pending Approval ,Approved ,Rejected.
&gt;Pending approval should be selected by default.</t>
  </si>
  <si>
    <t>Content Approval</t>
  </si>
  <si>
    <t>Playlist/Layouts name</t>
  </si>
  <si>
    <t>Check Playlist/content name from the screen</t>
  </si>
  <si>
    <t>Precondition:
1.Launch JioSignage  Sign In Page : https://digitalsignage.jio.com/users/sign_in .
2.Login with valid credential.
Test Steps:
1. Go to Content Approval home screen.
2.Observe the Pending approval screen.
3.Observe the Playlist/content name column.
4.Observe.</t>
  </si>
  <si>
    <t>&gt;It should show the approval requested Playlist/content name.</t>
  </si>
  <si>
    <t>Type</t>
  </si>
  <si>
    <t>Check type of Layouts from the screen.</t>
  </si>
  <si>
    <t>Precondition:
1.Launch JioSignage  Sign In Page : https://digitalsignage.jio.com/users/sign_in .
2.Login with valid credential.
Test Steps:
1. observe the Layouts approval screen.
2.Observe the type title.</t>
  </si>
  <si>
    <t>&gt;it should the type of the requested Layouts .
either it is Layouts or playlist.</t>
  </si>
  <si>
    <t>Start date</t>
  </si>
  <si>
    <t>Check able to see start date of the requested Layouts approval</t>
  </si>
  <si>
    <t>Precondition:
1.Launch JioSignage  Sign In Page : https://digitalsignage.jio.com/users/sign_in .
2.Login with valid credential.
Test Steps:
1. observe the Layouts approval screen.
2.Observe the start date status of the requested Layouts.</t>
  </si>
  <si>
    <t>&gt;it should show the start date of the requested which was set for expiry.</t>
  </si>
  <si>
    <t xml:space="preserve">End date </t>
  </si>
  <si>
    <t>Check able to see end date of the requested Layouts  approval</t>
  </si>
  <si>
    <t>Precondition:
1.Launch JioSignage  Sign In Page : https://digitalsignage.jio.com/users/sign_in .
2.Login with valid credential.
Test Steps:
1. Observe the Layouts approval screen.
2.Observe the end date status of the requested Layouts.</t>
  </si>
  <si>
    <t>&gt;it should show the end date of the requested which was set for expiry.</t>
  </si>
  <si>
    <t>Requested on</t>
  </si>
  <si>
    <t>Check the Layouts approval requested time &amp;date</t>
  </si>
  <si>
    <t>Precondition:
1.Launch JioSignage  Sign In Page : https://digitalsignage.jio.com/users/sign_in .
2.Login with valid credential.
Test Steps:
1.Observe the Layouts approval screen.
2.Observe the requested on status of the Layouts.</t>
  </si>
  <si>
    <t>&gt;It should show the Date &amp; Time when Layouts approval request was sent.</t>
  </si>
  <si>
    <t>Requested name</t>
  </si>
  <si>
    <t>Check the Layouts approval request senders name</t>
  </si>
  <si>
    <t>Precondition:
1.Launch JioSignage  Sign In Page : https://digitalsignage.jio.com/users/sign_in .
2.Login with valid credential.
Test Steps:
1. Observe the Layouts approval screen.
2.Observe the requested by title.</t>
  </si>
  <si>
    <t>&gt;It should show the name of the user by whom the Layouts approval requested.</t>
  </si>
  <si>
    <t>Requested Company</t>
  </si>
  <si>
    <t>Check the company name from where the approval request generated</t>
  </si>
  <si>
    <t>Precondition:
1.Launch JioSignage  Sign In Page : https://digitalsignage.jio.com/users/sign_in .
2.Login with valid credential.
Test Steps:
1.Observe the Layouts approval screen.
2.Observe the company name.</t>
  </si>
  <si>
    <t>&gt;it should show the company name , from where the Layouts approval request was sent.</t>
  </si>
  <si>
    <t>Expiry status</t>
  </si>
  <si>
    <t>Check able to see the Layouts expiry status.</t>
  </si>
  <si>
    <t>Precondition:
1.Launch JioSignage  Sign In Page : https://digitalsignage.jio.com/users/sign_in .
2.Login with valid credential.
Test Steps:
1.Observe the Layouts approval screen.
2.Observe the expiry status.</t>
  </si>
  <si>
    <t>&gt;If Layouts is not expired it should be observed as Green(true sign).
&gt;If Layouts is expired it should be observed as Red (False sign).</t>
  </si>
  <si>
    <t>Approve response</t>
  </si>
  <si>
    <t>Check approve response status of the Layouts</t>
  </si>
  <si>
    <t>Precondition:
1.Launch JioSignage  Sign In Page : https://digitalsignage.jio.com/users/sign_in .
2.Login with valid credential.
Test Steps:
1.Observe the Layouts approval screen.
2.Observe the approve response status.
3.Hover the curser on icons of it &gt; observe.</t>
  </si>
  <si>
    <t>&gt;It should show the Approve , Reject and Preview icons.
&gt;User should able to see the tooltip by hover curser on icon.</t>
  </si>
  <si>
    <t>Approve Response</t>
  </si>
  <si>
    <t>Approve Layouts</t>
  </si>
  <si>
    <t>Check able to approve the Layouts approval</t>
  </si>
  <si>
    <t>Precondition:
1.Launch JioSignage  Sign In Page : https://digitalsignage.jio.com/users/sign_in .
2.Login with valid credential.
Test Steps:
1.Observe the Layouts approval screen.
2.Click on the Approve icon of the Layouts.
3.Observe the approve request pop up with approve and cancel option.
4.Click on Cancel option &gt; observe.
5.click on Approve option&gt; observe.</t>
  </si>
  <si>
    <t>&gt;By click on cancel option pop up should be discarded.
Layouts request should be observed on screen.
&gt;By click on approve option 'Layouts approval successfully approved' message should be observed.
&gt;After approving the Layouts it should not be observed on pending approval screen.</t>
  </si>
  <si>
    <t>Reject Layouts</t>
  </si>
  <si>
    <t xml:space="preserve">Check able to reject the Layouts approval </t>
  </si>
  <si>
    <t>Precondition:
1.Launch JioSignage  Sign In Page : https://digitalsignage.jio.com/users/sign_in .
2.Login with valid credential.
Test Steps:
1.Observe the Layouts approval screen.
2.Click on the Reject icon of the Layouts.
3.Observe the reject request pop up with approve and cancel option.
4.Click on Cancel option &gt; observe.
5.click on Approve option&gt; observe.</t>
  </si>
  <si>
    <t xml:space="preserve">&gt;By click on cancel option pop up should be discarded.
Layouts request should be observed on screen.
&gt;By Click on Reject option it should shows the reject reason pop up.
&gt;User should able to type into reason pop up and after click on reject it should be removed from the pending approval. </t>
  </si>
  <si>
    <t xml:space="preserve">Check able to view Layouts preview </t>
  </si>
  <si>
    <t>Precondition:
1.Launch JioSignage  Sign In Page : https://digitalsignage.jio.com/users/sign_in .
2.Login with valid credential.
Test Steps:
1.Observe the Layouts approval screen.
2.Click on Preview icon &gt; observe.</t>
  </si>
  <si>
    <t>&gt;Preview of the Layouts should be observed.</t>
  </si>
  <si>
    <t>Approved Layouts list</t>
  </si>
  <si>
    <t>Check able to view the all  approved Layouts status</t>
  </si>
  <si>
    <t>Precondition:
1.Launch JioSignage  Sign In Page : https://digitalsignage.jio.com/users/sign_in .
2.Login with valid credential.
Test Steps:
1.Go to  approved Layouts screen.
2.Select approved Layouts screen.
3.Observe.</t>
  </si>
  <si>
    <t>&gt; User should able to see the all approved Layouts with respect to its status.</t>
  </si>
  <si>
    <t xml:space="preserve">Rejected Layouts list </t>
  </si>
  <si>
    <t>Check able to view all rejected Layouts</t>
  </si>
  <si>
    <t>Precondition:
1.Launch JioSignage  Sign In Page : https://digitalsignage.jio.com/users/sign_in .
2.Login with valid credential.
Test Steps:
1.Go to Rejected Layouts  screen.
2.Select rejected Layouts screen.
3.Observe.</t>
  </si>
  <si>
    <t>&gt; User should able to see the all rejected Layouts with respect to its status.</t>
  </si>
  <si>
    <t>Reason for rejection</t>
  </si>
  <si>
    <t>Check able to view the reason for rejected Layouts</t>
  </si>
  <si>
    <t>Precondition:
1.Launch JioSignage  Sign In Page : https://digitalsignage.jio.com/users/sign_in .
2.Login with valid credential.
Test Steps:
1.Go to Rejected Layouts  screen.
2.Select rejected Layouts screen.
3.Observe the reason for rejected Layouts.</t>
  </si>
  <si>
    <t>&gt;User should able to view the reason of Layouts rejection.</t>
  </si>
  <si>
    <t>Filter option to search individual columns.</t>
  </si>
  <si>
    <t>Check able to use the filter option to search individual columns in the Pending Approval, Approved, and Rejected sections</t>
  </si>
  <si>
    <t>Precondition:
1.Launch JioSignage  Sign In Page : https://digitalsignage.jio.com/users/sign_in .
2.Login with valid credential.
Test Steps:
1.Go to the Pending Approval section and click on the filter option to search individual columns.
2.Go to the Approved section and click on the filter option to search individual columns.
3.Go to the Rejected section and click on the filter option to search individual columns.</t>
  </si>
  <si>
    <t>&gt;User should be able to use the filter option to search individual columns in the Pending Approval, Approved, and Rejected sections.</t>
  </si>
  <si>
    <t>Able to use filter option to search individual columns</t>
  </si>
  <si>
    <t>Sort Option</t>
  </si>
  <si>
    <t>Check able to be use  Sort option for the Pending Approval, Approved and Rejected sections.</t>
  </si>
  <si>
    <t>Precondition:
1.Launch JioSignage  Sign In Page : https://digitalsignage.jio.com/users/sign_in .
2.Login with valid credential.
Test Steps:
1.Go to the Pending Approval section and click on the Sort option.
2.Go to the Approved section and click on the Sort option.
3.Go to the Rejected section and click on the Sort option.</t>
  </si>
  <si>
    <t>&gt;User should able to use Sort option for the Pending Approval, Approved and Rejected sections.</t>
  </si>
  <si>
    <t>User able to use sort option in Pending approval, Approverd and Rejected sections</t>
  </si>
  <si>
    <t>Automation TC</t>
  </si>
  <si>
    <t>Playlist</t>
  </si>
  <si>
    <t>To verify that create new playlist button functionality in main playlist page.</t>
  </si>
  <si>
    <t xml:space="preserve">1.Launch JioSignage  Sign In Page : https://digitalsignage.jio.com/users/sign_in .
2.Login with valid credential.
3.Click on content management &gt;Playlist.
4.Click playlist &gt; + icon on to right side.
</t>
  </si>
  <si>
    <t>Add new playlist OSD screen should appear.</t>
  </si>
  <si>
    <t>test_verifyCreateNewPlaylist</t>
  </si>
  <si>
    <t>To verify enter all supported characters in name field to create playlist.[Supported Characters = Number , Letters , _]</t>
  </si>
  <si>
    <t>1.Launch JioSignage  Sign In Page : https://digitalsignage.jio.com/users/sign_in .
2.Login with valid credential.
3.Click on content management &gt;Playlist.
4.Click playlist &gt; + icon on to right side.
5.Enter all character.</t>
  </si>
  <si>
    <t>User should able to Enter all supported  characters and create a playlist.</t>
  </si>
  <si>
    <t>test_verifyPlaylistWithAllChar</t>
  </si>
  <si>
    <t>To verify all special characters in Name field</t>
  </si>
  <si>
    <t>1.Launch JioSignage  Sign In Page : https://digitalsignage.jio.com/users/sign_in .
2.Login with valid credential.
3.Click on content management &gt;Playlist.
4.Click playlist &gt; + icon on to right side.
5.Enter special character.</t>
  </si>
  <si>
    <t>Only letters, numbers and _are allowed pop up appear.</t>
  </si>
  <si>
    <t>test_verifySpecCharInPlayName</t>
  </si>
  <si>
    <t>To verify Add functionality in add new playlist OSD screen.</t>
  </si>
  <si>
    <t>1.Launch JioSignage  Sign In Page : https://digitalsignage.jio.com/users/sign_in .
2.Login with valid credential.
3.Click on content management &gt;Playlist.
4.Click playlist &gt; Click on + icon from the  right side.
6.Enter name &gt; click add.</t>
  </si>
  <si>
    <t>User should able to view the playlist customize screen.</t>
  </si>
  <si>
    <t>test_verifyAddOptionOnCreatePlaylist</t>
  </si>
  <si>
    <t>To verify cancel functionality in add new playlist OSD screen.</t>
  </si>
  <si>
    <t>1.Launch JioSignage  Sign In Page : https://digitalsignage.jio.com/users/sign_in .
3.Click on content management &gt;Playlist.
4.Click playlist &gt; + icon on to right side.
5.Enter name &gt; click cancel.</t>
  </si>
  <si>
    <t>User should close the add new playlist page.</t>
  </si>
  <si>
    <t>test_verifyCancelOptionOnCreatePlaylist</t>
  </si>
  <si>
    <t>To verify X icon on add new playlist screen.</t>
  </si>
  <si>
    <t>1.Launch JioSignage  Sign In Page : https://digitalsignage.jio.com/users/sign_in .
2.Login with valid credential.
3.Click on content management &gt;Playlist.
5.Click playlist &gt;Click on + icon from the right side.
6.Click X icon</t>
  </si>
  <si>
    <t>test_verifyCloseOptionOnCreatePlaylist</t>
  </si>
  <si>
    <t>Verify created Playlist details in Playlist Page table</t>
  </si>
  <si>
    <t>1.Launch JioSignage  Sign In Page : https://digitalsignage.jio.com/users/sign_in .
2.Login with valid credential.
3.Click on content management &gt;Playlist.
4.Click playlist &gt; Click on + icon from the right side.
5.Enter name and save it.
6. Verify details of created Playlist on Playlist page table</t>
  </si>
  <si>
    <t>Playlist details should be correct in Playlist page</t>
  </si>
  <si>
    <t>test_verifyCreatedPlaylistDetail</t>
  </si>
  <si>
    <t xml:space="preserve">Edit Playlist </t>
  </si>
  <si>
    <t>To verify edit playlist name functionality in edit playlist screen.</t>
  </si>
  <si>
    <t>Precondition: Playlist is created
1.Launch JioSignage  Sign In Page : https://digitalsignage.jio.com/users/sign_in .
2.Login with valid credential.
3. Go to Content management-&gt;Playlist
4. Click on existing playlist.
5. Click edit name icon which is available on to top left corner.</t>
  </si>
  <si>
    <t>User should edit the existing playlist name.</t>
  </si>
  <si>
    <t>test_verifyRenamePlaylist</t>
  </si>
  <si>
    <t>To verify update name functionality in edit playlist page.</t>
  </si>
  <si>
    <t>Precondition: Playlist is created
1.Launch JioSignage  Sign In Page : https://digitalsignage.jio.com/users/sign_in .
2.Login with valid credential.
3. Go to Content management-&gt;Playlist
4. Click on existing playlist.
5. Click edit name icon which is available on to top left corner.
6. Enter name and update.</t>
  </si>
  <si>
    <t>playlist name should update accordingly.</t>
  </si>
  <si>
    <t>test_verifyUpdatePlaylistName</t>
  </si>
  <si>
    <t>Edit Playlist</t>
  </si>
  <si>
    <t>To verify layout folder in edit playlist screen.</t>
  </si>
  <si>
    <t>Precondition: Playlist is created
1.Launch JioSignage  Sign In Page : https://digitalsignage.jio.com/users/sign_in .
2.Login with valid credential.
3. Go to Content management-&gt;Playlist
4. Click on existing playlist.
5 .Select layout from layout folder.</t>
  </si>
  <si>
    <t>Created layout folder should available in below search bar and user should able to select layout from it</t>
  </si>
  <si>
    <t>To verify open and close the content folder in edit playlist screen.</t>
  </si>
  <si>
    <t xml:space="preserve">1.Launch JioSignage  Sign In Page : https://digitalsignage.jio.com/users/sign_in .
2.Login with valid credential.
3.Click on content management &gt;Playlist.
4.Click playlist &gt;Click on + icon from the right side.
5.Enter name &gt; add.
6.Select created content folder (+ and -). </t>
  </si>
  <si>
    <t>Available content in that particular folder should appear and user should be able to add them in playlist.</t>
  </si>
  <si>
    <t>To verify close button in Edit Playlist</t>
  </si>
  <si>
    <t>Precondition: Playlist is created
1.Launch JioSignage  Sign In Page : https://digitalsignage.jio.com/users/sign_in .
2.Go to Content management-&gt;Playlist
3. Go to Content-&gt;Playlist
4. Click on existing playlist.
5. Click on close button</t>
  </si>
  <si>
    <t>Verify that close button closes Edit Playlist page</t>
  </si>
  <si>
    <t>test_verifyCloseButtonOnEditPlaylist</t>
  </si>
  <si>
    <t>Trash</t>
  </si>
  <si>
    <t>To verify that Head Folder functionality in Playlist.</t>
  </si>
  <si>
    <t>1.Launch JioSignage  Sign In Page : https://digitalsignage.jio.com/users/sign_in .
2.Login with valid credential.
3.Click on content management &gt;Playlist.
4.Click playlist &gt;trashed &gt; Head folder.</t>
  </si>
  <si>
    <t xml:space="preserve">Head folder of playlist should appear  </t>
  </si>
  <si>
    <t>test_verifyHeadFolder</t>
  </si>
  <si>
    <t>To verify trashed functionality in playlist.</t>
  </si>
  <si>
    <t>1.Launch JioSignage  Sign In Page : https://digitalsignage.jio.com/users/sign_in .
2.Login with valid credential.
3.Click on content management &gt;Playlist.
5.Click playlist &gt; trashed .</t>
  </si>
  <si>
    <t>Trashed playlist should appear.</t>
  </si>
  <si>
    <t>test_verifyTrashedPlaylist</t>
  </si>
  <si>
    <t>To verify search functionality in trashed playlist.</t>
  </si>
  <si>
    <t>1.Launch JioSignage  Sign In Page : https://digitalsignage.jio.com/users/sign_in .
2.Login with valid credential.
3.Click on content management &gt;Playlist.
4.Click playlist&gt; trashed.
5.Click search icon.
6.Enter deleted playlist name.</t>
  </si>
  <si>
    <t>Searched Playlist should appear.</t>
  </si>
  <si>
    <t>test_verifySearchAfterTrash</t>
  </si>
  <si>
    <t>To verify check box functionality in  trashed playlist.</t>
  </si>
  <si>
    <t>1.Launch JioSignage  Sign In Page : https://digitalsignage.jio.com/users/sign_in .
2.Login with valid credential.
3.Click on content management &gt;Playlist.
4.Click playlist &gt; trashed.
5.Enable check box.</t>
  </si>
  <si>
    <t xml:space="preserve">User should able to access more option after enable the check box. </t>
  </si>
  <si>
    <t>test_verifyCheckboxInTrashed</t>
  </si>
  <si>
    <t>To verify more option in Trashed playlist</t>
  </si>
  <si>
    <t>1.Launch JioSignage  Sign In Page : https://digitalsignage.jio.com/users/sign_in .
2.Login with valid credential.
3..Click on content management &gt;Playlist.
4.Click playlist &gt; trashed.
5.Enable check box &gt; Click Three dot(top right corner)</t>
  </si>
  <si>
    <t>Restore and delete completely option should available inside more option.</t>
  </si>
  <si>
    <t>test_verifyMoreOptionsInTrashed</t>
  </si>
  <si>
    <t>To verify Restore functionality in Trashed playlist</t>
  </si>
  <si>
    <t>1.Launch JioSignage  Sign In Page : https://digitalsignage.jio.com/users/sign_in .
2.Login with valid credential.
3.Click on content management &gt;Playlist.
4.Click playlist &gt; trashed.
5.Enable check box &gt; Click Three dot(top right corner).
6.Click Restore.</t>
  </si>
  <si>
    <t>Restore confirmation pop up screen should open.</t>
  </si>
  <si>
    <t>test_verifyRestorePlaylist</t>
  </si>
  <si>
    <t>To verify "OK" functionality in Restore Confirmation pop up of Trashed playlist</t>
  </si>
  <si>
    <t>1.Launch JioSignage  Sign In Page : https://digitalsignage.jio.com/users/sign_in .
2.Login with valid credential.
3.Click on content management &gt;Playlist.
4.Create playlist &gt; trashed.
5.Enable check box &gt; Click Three dot(top right corner).
6.Click Restore &gt;Click ok.</t>
  </si>
  <si>
    <t>Playlist should restore successfully and that Playlist should appear on main playlist page.</t>
  </si>
  <si>
    <t>test_verifyOkButtonRestorePlaylist</t>
  </si>
  <si>
    <t>To verify "Cancel" functionality in Restore Confirmation pop up of Trashed playlist</t>
  </si>
  <si>
    <t>1.Launch JioSignage  Sign In Page : https://digitalsignage.jio.com/users/sign_in .
2.Login with valid credential.
3.Click on content management &gt;Playlist.
4.Click playlist &gt; trashed.
5.Enable check box &gt; Click Three dot(top right corner).
6.Click Restore &gt;Click cancel.</t>
  </si>
  <si>
    <t>Restore confirmation pop up should close.</t>
  </si>
  <si>
    <t>test_verifyCancelButtonRestorePlaylist</t>
  </si>
  <si>
    <t>To verify "X" icon functionality in Restore Confirmation pop up of Trashed playlist</t>
  </si>
  <si>
    <t>1.Launch JioSignage  Sign In Page : https://digitalsignage.jio.com/users/sign_in .
2.Login with valid credential.
3.Click on content management &gt;Playlist.
4.Click on Trashed option available in right side.
5.Enable check box &gt; Click Three dot(top right corner).
6.Click Restore &gt;Click close(X) icon.</t>
  </si>
  <si>
    <t>test_verifyCloseButtonRestorePlaylist</t>
  </si>
  <si>
    <t>To verify Delete completely functionality in Trashed playlist</t>
  </si>
  <si>
    <t>1.Launch JioSignage  Sign In Page : https://digitalsignage.jio.com/users/sign_in .
2.Login with valid credential.
3.Click on content management &gt;Playlist.
4.Click playlist &gt; trashed.
5.Enable check box &gt; Click Three dot(top right corner).
6.Click Delete completely.</t>
  </si>
  <si>
    <t>Playlist should delete permanently.</t>
  </si>
  <si>
    <t>test_verifyCompleteDeletePlaylist</t>
  </si>
  <si>
    <t>To verify "OK" functionality in delete Confirmation pop up of Trashed playlist</t>
  </si>
  <si>
    <t>1.Launch JioSignage  Sign In Page : https://digitalsignage.jio.com/users/sign_in .
2.Login with valid credential.
3..Click on content management &gt;Playlist.
4.Click on Trashed option available in right side".
6.Enable check box &gt; Click Three dot(top right corner).
7.Click delete completely &gt;Click ok.</t>
  </si>
  <si>
    <t>Selected playlist should delete successfully.</t>
  </si>
  <si>
    <t>test_verifyOkButtonCompleteDeletePlaylist</t>
  </si>
  <si>
    <t>To verify "Cancel" functionality in Delete Confirmation pop up of Trashed playlist</t>
  </si>
  <si>
    <t>1.Launch JioSignage  Sign In Page : https://digitalsignage.jio.com/users/sign_in .
2.Login with valid credential.
3.Click on content management &gt;Playlist.
4.Click on Trashed option available in right side".
5.Enable check box &gt; Click Three dot(top right corner).
6.Click delete completely &gt;Click Cancel.</t>
  </si>
  <si>
    <t>Delete confirmation pop up should close.</t>
  </si>
  <si>
    <t>test_verifyCancelButtonCompleteDeletePlaylist</t>
  </si>
  <si>
    <t>To verify "X" icon functionality in delete Confirmation pop up of Trashed playlist</t>
  </si>
  <si>
    <t>1.Launch JioSignage  Sign In Page : https://digitalsignage.jio.com/users/sign_in .
2.Login with valid credential.
3.Click on content management &gt;Playlist.
5.Create playlist &gt; trashed.
6.Enable check box &gt; Click Three dot(top right corner).
7.Click delete completely &gt;Click x icon.</t>
  </si>
  <si>
    <t>test_verifyCloseButtonCompleteDeletePlaylist</t>
  </si>
  <si>
    <t>To verify scroll up and down functionality in trashed playlist page.</t>
  </si>
  <si>
    <t>1.Launch JioSignage  Sign In Page : https://digitalsignage.jio.com/users/sign_in .
2.Login with valid credential.
3.Click on content management &gt;Playlist.
4.Create playlist &gt; trashed.
5.Scroll up and down the screen.</t>
  </si>
  <si>
    <t>User should able to scroll up and down the page.</t>
  </si>
  <si>
    <t>test_verifyScrollInTrashedPlaylistPage</t>
  </si>
  <si>
    <t>To verify Number of entries in Trashed playlist page.</t>
  </si>
  <si>
    <t>1.Launch JioSignage  Sign In Page : https://digitalsignage.jio.com/users/sign_in .
2.Login with valid credential.
3.Click on content management &gt;Playlist.
5.Create playlist &gt; trashed.
6.Click number near to text show which is available on bottom left corner.</t>
  </si>
  <si>
    <t>User can change the entries numbers like (20 , 50 , 100, 200, 500)</t>
  </si>
  <si>
    <t>test_verifyNumOfEntriesInTrashed</t>
  </si>
  <si>
    <t>To verify right arrow (&gt;) on bottom right corner on trashed playlist page.</t>
  </si>
  <si>
    <t>1.Launch JioSignage  Sign In Page : https://digitalsignage.jio.com/users/sign_in .
2.Login with valid credential.
3.Click on content management &gt;Playlist.
4.Create playlist &gt; trashed.
5.Click (&gt;) arrow on bottom right corner.</t>
  </si>
  <si>
    <t>playlist entries should open the next screen.</t>
  </si>
  <si>
    <t>test_verifyNextOptionInTrashedPlaylist</t>
  </si>
  <si>
    <t>To verify left arrow (&lt;) on bottom right corner on trashed playlist page.</t>
  </si>
  <si>
    <t>1.Launch JioSignage  Sign In Page : https://digitalsignage.jio.com/users/sign_in .
2.Login with valid credential.
3.Click on content management &gt;Playlist.
5.Create playlist &gt; trashed.
6.Click (&lt;) arrow on bottom right corner.</t>
  </si>
  <si>
    <t>playlist entries should open the previous screen.</t>
  </si>
  <si>
    <t>test_verifyPreviousOptionInTrashedPlaylist</t>
  </si>
  <si>
    <t>To verify name of playlist in trashed playlist</t>
  </si>
  <si>
    <t>1.Launch JioSignage  Sign In Page : https://digitalsignage.jio.com/users/sign_in .
2.Login with valid credential.
3.Click on content management &gt;Playlist.
4.Create playlist &gt; delete playlist &gt; click trashed.
5.Observed the deleted playlist name.</t>
  </si>
  <si>
    <t>Playlist name should be correct.</t>
  </si>
  <si>
    <t>test_verifyTrashedPlaylistName</t>
  </si>
  <si>
    <t>To verify Folder of playlist in trashed playlist</t>
  </si>
  <si>
    <t>1.Launch JioSignage  Sign In Page : https://digitalsignage.jio.com/users/sign_in .
2.Login with valid credential.
3.Click on content management &gt;Playlist.
4.Create playlist &gt; delete playlist &gt; click trashed.
5.Observed the deleted playlist folder name.</t>
  </si>
  <si>
    <t>Folder should show correct folder name.</t>
  </si>
  <si>
    <t>test_verifyFolderOfPlaylistInTrashed</t>
  </si>
  <si>
    <t>To verify modified by in trashed playlist</t>
  </si>
  <si>
    <t>1.Launch JioSignage  Sign In Page : https://digitalsignage.jio.com/users/sign_in .
2.Login with valid credential.
3.Click on content management &gt;Playlist.
5.Create playlist &gt; delete playlist &gt; click trashed.
6.Observed the deleted playlist details of modified by.</t>
  </si>
  <si>
    <t>Last modified person name should be appear.</t>
  </si>
  <si>
    <t>test_verifyModifyByAtTrashed</t>
  </si>
  <si>
    <t>Folder</t>
  </si>
  <si>
    <t>To verify create folder functionality in Playlist main page.</t>
  </si>
  <si>
    <t>1.Launch JioSignage  Sign In Page : https://digitalsignage.jio.com/users/sign_in .
2.Login with valid credential.
3.Click on content management &gt;Playlist.
4.Click on add folder icon from right next to the folders dropdown.</t>
  </si>
  <si>
    <t>Create folder screen should appear along with name field.</t>
  </si>
  <si>
    <t>test_verifyCreateFolderOSDForPlaylist</t>
  </si>
  <si>
    <t>To verify enter all supported characters in name field of Create folder..[Supported Characters = Number , Letters , _]</t>
  </si>
  <si>
    <t>1.Launch JioSignage  Sign In Page : https://digitalsignage.jio.com/users/sign_in .
2.Login with valid credential.
3.Click on content management &gt;Playlist.
5. Click create folder icon.
6.Enter all character.</t>
  </si>
  <si>
    <t>User should able to Enter all the characters.</t>
  </si>
  <si>
    <t>test_verifyCreateFolderForPlaylist</t>
  </si>
  <si>
    <t>To verify all special characters in Name field of create folder</t>
  </si>
  <si>
    <t>1.Launch JioSignage  Sign In Page : https://digitalsignage.jio.com/users/sign_in .
2.Login with valid credential.
3.Click on content management &gt;Playlist.
4.Click on create folder icon.
5.Enter all special character.</t>
  </si>
  <si>
    <t>test_verifyPlayFolderWithSC</t>
  </si>
  <si>
    <t>1.Launch JioSignage  Sign In Page : https://digitalsignage.jio.com/users/sign_in .
2.Login with valid credential.
3.Click on content management &gt;Playlist.
5. Click  on create folder icon.
6.Enter folder &gt; add</t>
  </si>
  <si>
    <t>User should able to create the folder.</t>
  </si>
  <si>
    <t>test_verifyOkOptionOnCreateFolderForPlaylist</t>
  </si>
  <si>
    <t>1.Launch JioSignage  Sign In Page : https://digitalsignage.jio.com/users/sign_in .
2.Login with valid credential.
3.Click on content management &gt;Playlist.
4. Click on create folder icon.
5.Enter folder &gt; click cancel</t>
  </si>
  <si>
    <t>User should close the create folder pop up screen.</t>
  </si>
  <si>
    <t>test_verifyCancelOptionOnCreateFolderForPlaylist</t>
  </si>
  <si>
    <t>To verify X icon on create folder.</t>
  </si>
  <si>
    <t>1.Launch JioSignage  Sign In Page : https://digitalsignage.jio.com/users/sign_in .
2.Login with valid credential.
3.Click on content management &gt;Playlist.
4.Click on create folder icon.
5.Enter folder Name &gt; click X icon</t>
  </si>
  <si>
    <t>User should close the add create folder OSD screen.</t>
  </si>
  <si>
    <t>test_verifyCloseOptionOnCreateFolderForPlaylist</t>
  </si>
  <si>
    <t>To verify dropdown icon of root in playlist main page.</t>
  </si>
  <si>
    <t>1.Launch JioSignage  Sign In Page : https://digitalsignage.jio.com/users/sign_in .
2.Login with valid credential.
3.Click on content management &gt;Playlist.
4.click Dropdown icon of root.</t>
  </si>
  <si>
    <t>Created folder list should appear.</t>
  </si>
  <si>
    <t>test_verifyFolderInDropDownPlay</t>
  </si>
  <si>
    <t>To verify search functionality in folder dropdown of playlist main page</t>
  </si>
  <si>
    <t>1.Launch JioSignage  Sign In Page : https://digitalsignage.jio.com/users/sign_in .
2.Login with valid credential.
3.Click on content management &gt;Playlist
4.Click Dropdown icon of root &gt; click search bar.
5.Enter folder Name.</t>
  </si>
  <si>
    <t>Searched folder name should filter properly.</t>
  </si>
  <si>
    <t>test_verifySearchFolderInDropDownPlay</t>
  </si>
  <si>
    <t>To verify select any folder over folder dropdown in playlist main page.</t>
  </si>
  <si>
    <t xml:space="preserve">1.Launch JioSignage  Sign In Page : https://digitalsignage.jio.com/users/sign_in .
2.Login with valid credential.
3.Click on content management &gt;Playlist.
4.Click Dropdown icon of root &gt; click search bar.
5.Enter folder name&gt; select </t>
  </si>
  <si>
    <t>Selected folder should open.</t>
  </si>
  <si>
    <t>test_selectPlaylistFolderFromDropdownAndOpen</t>
  </si>
  <si>
    <t>To verify search functionality in playlist main page.</t>
  </si>
  <si>
    <t>1.Launch JioSignage  Sign In Page : https://digitalsignage.jio.com/users/sign_in .
2.Login with valid credential.
3.Click on content management &gt;Playlist.
5. Click search icon.
6.Enter playlist name.</t>
  </si>
  <si>
    <t>Searched playlist should appear.</t>
  </si>
  <si>
    <t>test_verifyPlaylistSearch</t>
  </si>
  <si>
    <t>To verify filter icon on Playlist.</t>
  </si>
  <si>
    <t>1.Launch JioSignage  Sign In Page : https://digitalsignage.jio.com/users/sign_in .
2.Login with valid credential.
3.Click on content management &gt;Playlist.
4.Click on filter icon observe.</t>
  </si>
  <si>
    <t>Search bar should appear near to name field.</t>
  </si>
  <si>
    <t>test_verifyFilterSearchForPlaylist</t>
  </si>
  <si>
    <t>To verify check box functionality in playlist main screen.</t>
  </si>
  <si>
    <t>1.Launch JioSignage  Sign In Page : https://digitalsignage.jio.com/users/sign_in .
2.Login with valid credential.
3.Click on content management &gt;Playlist.
4.Enable check box.</t>
  </si>
  <si>
    <t>test_verifyCheckOptionOnPlaylist</t>
  </si>
  <si>
    <t>To verify more option functionality in playlist.</t>
  </si>
  <si>
    <t>1.Launch JioSignage  Sign In Page : https://digitalsignage.jio.com/users/sign_in .
2.Login with valid credential.
3.Click on content management &gt;Playlist
4.Enable check box &gt; click more option(Three dot near to create new playlist icon).</t>
  </si>
  <si>
    <t>More option should open with Move playlist and move to trash.</t>
  </si>
  <si>
    <t>test_verifyMoreOptionsOnPlaylist</t>
  </si>
  <si>
    <t>Move Playlist</t>
  </si>
  <si>
    <t>To verify Move playlist functionality in playlist more option.</t>
  </si>
  <si>
    <t>1.Launch JioSignage  Sign In Page : https://digitalsignage.jio.com/users/sign_in .
2.Login with valid credential.
3.Click on content management &gt;Playlist
4.Enable check box &gt; click more option(Three dot near to create new playlist icon).
5.Click Move playlist.</t>
  </si>
  <si>
    <t>Move playlist OSD should open.</t>
  </si>
  <si>
    <t>test_verifyMovePlaylist</t>
  </si>
  <si>
    <t>To verify dropdown functionality in move playlist OSD on playlist.</t>
  </si>
  <si>
    <t>1.Launch JioSignage  Sign In Page : https://digitalsignage.jio.com/users/sign_in .
2.Login with valid credential.
3.Click on content management &gt;Playlist
4.Enable check box &gt; click more option(Three dot near to create new playlist icon).
5.Click Move playlist &gt; click down arrow icon.</t>
  </si>
  <si>
    <t>Available folder should appear.</t>
  </si>
  <si>
    <t>test_verifyFolderOptionOnMovePlaylist</t>
  </si>
  <si>
    <t>To verify X functionality in Move playlist OSD.</t>
  </si>
  <si>
    <t>1.Launch JioSignage  Sign In Page : https://digitalsignage.jio.com/users/sign_in .
2.Login with valid credential.
3.Click on content management &gt;Playlist
4.Enable check box &gt; click more option(Three dot near to create new playlist icon).
5.Click Move playlist &gt; click X icon.</t>
  </si>
  <si>
    <t>Move playlist OSD should close.</t>
  </si>
  <si>
    <t>test_verifyCloseOptionOnMovePlaylist</t>
  </si>
  <si>
    <t>To verify Move functionality in Move playlist OSD.</t>
  </si>
  <si>
    <t>1.Launch JioSignage  Sign In Page : https://digitalsignage.jio.com/users/sign_in .
2.Login with valid credential.
3.Click on content management &gt;Playlist
4.Enable check box &gt; click more option(Three dot near to create new playlist icon).
5.Click Move playlist &gt; Select folder name &gt; Click move.</t>
  </si>
  <si>
    <t>That playlist should move to particular folder.</t>
  </si>
  <si>
    <t>test_verifyMovePlaylistToFolder</t>
  </si>
  <si>
    <t>To verify Move to trash functionality in Playlist.</t>
  </si>
  <si>
    <t>1.Launch JioSignage  Sign In Page : https://digitalsignage.jio.com/users/sign_in .
2.Login with valid credential.
3.Click on content management &gt;Playlist
4.Enable check box &gt; click more option(Three dot near to create new playlist icon).
5.Click Move to trash.</t>
  </si>
  <si>
    <t>Confirmation OSD should open.</t>
  </si>
  <si>
    <t>test_verifyTrashOSDForPlaylist</t>
  </si>
  <si>
    <t>3 Dot button functionality</t>
  </si>
  <si>
    <t>To verify "OK" functionality in Confirmation OSD of playlist</t>
  </si>
  <si>
    <t>1.Launch JioSignage  Sign In Page : https://digitalsignage.jio.com/users/sign_in .
2.Login with valid credential.
3.Click on content management &gt;Playlist
4.Enable check box &gt; click more option(Three dot near to create new playlist icon).
5.Click Move to trash &gt; Click OK.</t>
  </si>
  <si>
    <t>Playlist should Move to trash successfully.</t>
  </si>
  <si>
    <t>test_verifyOkButtonOnTrashOSDForPlaylist</t>
  </si>
  <si>
    <t>To verify "Cancel" functionality in Confirmation OSD of playlist</t>
  </si>
  <si>
    <t>1.Launch JioSignage  Sign In Page : https://digitalsignage.jio.com/users/sign_in .
2.Login with valid credential.
3.Click on content management &gt;Playlist
4.Enable check box &gt; click more option(Three dot near to create new playlist icon).
5.Click Move to trash &gt; Click cancel.</t>
  </si>
  <si>
    <t>Move to trash confirmation OSD should close.</t>
  </si>
  <si>
    <t>test_verifyCancelButtonOnTrashOSDForPlaylist</t>
  </si>
  <si>
    <t>To verify "X" icon functionality in Confirmation OSD of playlist</t>
  </si>
  <si>
    <t>1.Launch JioSignage  Sign In Page : https://digitalsignage.jio.com/users/sign_in .
2.Login with valid credential.
3.Click on content management &gt;Playlist
4.Enable check box &gt; click more option(Three dot near to create new playlist icon).
5.Click Move to trash &gt; Click x icon.</t>
  </si>
  <si>
    <t>Move to trash confirmation pop up should close.</t>
  </si>
  <si>
    <t>test_verifyCloseButtonOnTrashOSDForPlaylist</t>
  </si>
  <si>
    <t>Copy Playlist</t>
  </si>
  <si>
    <t>To verify Copy icon functionality in playlist main screen.</t>
  </si>
  <si>
    <t>1.Launch JioSignage  Sign In Page : https://digitalsignage.jio.com/users/sign_in .
2.Login with valid credential.
3.Click on content management &gt;Playlist
4.Click on copy icon from action field</t>
  </si>
  <si>
    <t>Copy playlist OSD should appear.</t>
  </si>
  <si>
    <t>test_verifyCopyOptionOnPlaylist</t>
  </si>
  <si>
    <t>To verify enter all supported characters in name field of Copy playlist.[Supported Characters = Number , Letters , _]</t>
  </si>
  <si>
    <t>1.Launch JioSignage  Sign In Page : https://digitalsignage.jio.com/users/sign_in .
2.Login with valid credential.
3.Click on content management &gt;Playlist
4.Click on copy icon from action field.
5.Enter all characters in name field and observe.</t>
  </si>
  <si>
    <t>test_verifyAllCharInCopyOptionOnPlaylist</t>
  </si>
  <si>
    <t>To verify all special characters in Name field of copy playlist</t>
  </si>
  <si>
    <t>1.Launch JioSignage  Sign In Page : https://digitalsignage.jio.com/users/sign_in .
2.Login with valid credential.
3.Click on content management &gt;Playlist
4.Click on copy icon from action field.
5.Enter special characters in name field and observe.</t>
  </si>
  <si>
    <t>test_verifyAllSPCharInCopyOptionOnPlaylist</t>
  </si>
  <si>
    <t>To verify Save functionality in copy playlist.</t>
  </si>
  <si>
    <t>1.Launch JioSignage  Sign In Page : https://digitalsignage.jio.com/users/sign_in .
2.Login with valid credential.
3.Click on content management &gt;Playlist
4.Click on copy icon from action field.
5.Enter all characters in name field and observe
6..Click save option</t>
  </si>
  <si>
    <t>User should able to create the playlist.</t>
  </si>
  <si>
    <t>test_verifySaveOptionOnCopyPlaylist</t>
  </si>
  <si>
    <t>To verify cancel functionality in copy playlist.</t>
  </si>
  <si>
    <t>1.Launch JioSignage  Sign In Page : https://digitalsignage.jio.com/users/sign_in .
2.Login with valid credential.
3.Click on content management &gt;Playlist
4.Click on copy icon from action field.
5..Enter all characters in name field and observe.
6.Click cancel option</t>
  </si>
  <si>
    <t>Copy playlist OSD should close.</t>
  </si>
  <si>
    <t>test_verifyCancelOptionOnCopyPlaylist</t>
  </si>
  <si>
    <t>To verify X icon on copy playlist.</t>
  </si>
  <si>
    <t>1.Launch JioSignage  Sign In Page : https://digitalsignage.jio.com/users/sign_in .
2.Login with valid credential.
3.Click on content management &gt;Playlist
4.Click on copy icon from action field.
5..Enter all characters in name field and observe
6.click X icon</t>
  </si>
  <si>
    <t>test_verifyCloseOptionOnCopyPlaylist</t>
  </si>
  <si>
    <t>Edit/Rename Playlist</t>
  </si>
  <si>
    <t>To verify clicking on Playlist name in main playlist screen.</t>
  </si>
  <si>
    <t>1.Launch JioSignage  Sign In Page : https://digitalsignage.jio.com/users/sign_in .
2.Login with valid credential.
3.Click on content management &gt;Playlist
4.Click on edit icon from action field and observe.</t>
  </si>
  <si>
    <t>Edit playlist screen should open.</t>
  </si>
  <si>
    <t>test_verifyOpenPlaylist</t>
  </si>
  <si>
    <t>To verify Edit icon functionality in playlist.</t>
  </si>
  <si>
    <t>1.Launch JioSignage  Sign In Page : https://digitalsignage.jio.com/users/sign_in .
2.Login with valid credential.
3.Click on content management &gt;Playlist
6click on edit icon from action field.</t>
  </si>
  <si>
    <t>edit playlist OSD should open.</t>
  </si>
  <si>
    <t>test_verifyEditPlaylistDetail</t>
  </si>
  <si>
    <t>To verify enter all supported characters in name field of edit playlist..[Supported Characters = Number , Letters , _]</t>
  </si>
  <si>
    <t>1.Launch JioSignage  Sign In Page : https://digitalsignage.jio.com/users/sign_in .
2.Login with valid credential.
3.Click on content management &gt;Playlist
6.Click on edit icon from action field and Enter playlist name which is not exist.</t>
  </si>
  <si>
    <t>test_verifyEnterAllCharInRename</t>
  </si>
  <si>
    <t>To verify all special characters in Name field of edit playlist</t>
  </si>
  <si>
    <t>1.Launch JioSignage  Sign In Page : https://digitalsignage.jio.com/users/sign_in .
2.Login with valid credential.
3.Click on content management &gt;Playlist
4.Click Edit icon &gt; Enter special character name (No existing name).</t>
  </si>
  <si>
    <t>test_verifyEnterSPAllCharInRename</t>
  </si>
  <si>
    <t>To verify Save functionality in edit playlist.</t>
  </si>
  <si>
    <t>1.Launch JioSignage  Sign In Page : https://digitalsignage.jio.com/users/sign_in .
2.Login with valid credential.
3.Click on content management &gt;Playlist
6.Click Edit icon &gt; Enter playlist name (No existing name).
7.Click save option</t>
  </si>
  <si>
    <t>User should able to edit the playlist name.</t>
  </si>
  <si>
    <t>test_verifySaveOptionRename</t>
  </si>
  <si>
    <t>To verify cancel functionality in edit playlist.</t>
  </si>
  <si>
    <t>1.Launch JioSignage  Sign In Page : https://digitalsignage.jio.com/users/sign_in .
2.Login with valid credential.
3.Click on content management &gt;Playlist
4.Click Edit icon and click on cancel option</t>
  </si>
  <si>
    <t>edit playlist OSD should close.</t>
  </si>
  <si>
    <t>test_verifyCancelOptionRename</t>
  </si>
  <si>
    <t>1.Launch JioSignage  Sign In Page : https://digitalsignage.jio.com/users/sign_in .
2.Login with valid credential.
3.Click content &gt; material&gt; upload raw material.
4.Click Content &gt; create content with approval.
5.Click playlist.
6.Click Edit icon &gt; Enter playlist name (No existing name).
7.click X icon</t>
  </si>
  <si>
    <t>test_verifyCloseOptionRename</t>
  </si>
  <si>
    <t>To verify modified by in playlist</t>
  </si>
  <si>
    <t>1.Launch JioSignage  Sign In Page : https://digitalsignage.jio.com/users/sign_in .
2.Login with valid credential.
3.Click on content management &gt;Playlist
4.Create playlist
5. Observe the modified by .</t>
  </si>
  <si>
    <t>test_verifyModifyBy</t>
  </si>
  <si>
    <t>To verify scroll up and down functionality in playlist main page.</t>
  </si>
  <si>
    <t>1.Launch JioSignage  Sign In Page : https://digitalsignage.jio.com/users/sign_in .
2.Login with valid credential.
3.Click on content management &gt;Playlist
6.scroll up and down ad observe.</t>
  </si>
  <si>
    <t>test_verifyScrollInPlaylistPage</t>
  </si>
  <si>
    <t>To verify Number of entries in playlist page.</t>
  </si>
  <si>
    <t>1.Launch JioSignage  Sign In Page : https://digitalsignage.jio.com/users/sign_in .
2.Login with valid credential.
3.Click on content management &gt;Playlist
4.Scroll down the playlist page .
5.Click number near to text show which is available on bottom left corner.</t>
  </si>
  <si>
    <t>test_verifyNumOfEntriesInPlaylist</t>
  </si>
  <si>
    <t>To verify right arrow (&gt;) on bottom right corner on playlist page.</t>
  </si>
  <si>
    <t>1.Launch JioSignage  Sign In Page : https://digitalsignage.jio.com/users/sign_in .
2.Login with valid credential.
3.Click on content management &gt;Playlist
4.Scroll down the playlist page .
5.Click (&gt;) arrow on bottom right corner.</t>
  </si>
  <si>
    <t>Playlist entries should open the next screen.</t>
  </si>
  <si>
    <t>test_verifyNextOptionOnPlaylist</t>
  </si>
  <si>
    <t>To verify left arrow (&lt;) on bottom right corner on playlist page.</t>
  </si>
  <si>
    <t>1.Launch JioSignage  Sign In Page : https://digitalsignage.jio.com/users/sign_in .
2.Login with valid credential.
3.Click on content management &gt;Playlist
4.Scroll down the playlist page .
5.Click (&lt;) arrow on bottom right corner.</t>
  </si>
  <si>
    <t>test_verifyPreviousOptionOnPlaylist</t>
  </si>
  <si>
    <t>Smart Playlist</t>
  </si>
  <si>
    <t>Create a Smart Playlist (+-&gt;Add new Playlist-&gt;Smart Playlist)</t>
  </si>
  <si>
    <t>1.Launch JioSignage  Sign In Page : https://digitalsignage.jio.com/users/sign_in .
2.Login with valid credential.
3.Click on content management &gt;Playlist &gt;Click on + Button
4.Click On smart Playlist &gt; Playlist Name
5.Click on ADD button</t>
  </si>
  <si>
    <t>Add new Smart playlist OSD screen should appear.</t>
  </si>
  <si>
    <t xml:space="preserve">Test name field for character , special char , number </t>
  </si>
  <si>
    <t>1.Launch JioSignage  Sign In Page : https://digitalsignage.jio.com/users/sign_in .
2.Login with valid credential.
3.Click on content management &gt;Playlist &gt;Click on + Button"
4.Click On smart Playlist &gt; Playlist Name with Special character
5.Click on ADD button</t>
  </si>
  <si>
    <t>User should able to Enter all the characters , which are supported by specifications.</t>
  </si>
  <si>
    <t>test_addplaylistwithspecialchar</t>
  </si>
  <si>
    <t>Add Playlist</t>
  </si>
  <si>
    <t>Add Playlist in Smart Playlist</t>
  </si>
  <si>
    <t>1.Launch JioSignage  Sign In Page : https://digitalsignage.jio.com/users/sign_in .
2.Login with valid credential.
3.Click on content management &gt;Playlist &gt;Click on + Button"
4.Click On smart Playlist &gt;create and save&gt; Drag &amp; drop from Playlist to Smart play list
5.Save Smart Playlist</t>
  </si>
  <si>
    <t>User should able to add the playlist customize screen.</t>
  </si>
  <si>
    <t>Save Playlist</t>
  </si>
  <si>
    <t>User should able to save the playlist</t>
  </si>
  <si>
    <t>test_saveplaylist</t>
  </si>
  <si>
    <t>Preview Smart Playlist content</t>
  </si>
  <si>
    <t>1.Launch JioSignage  Sign In Page : https://digitalsignage.jio.com/users/sign_in .
2.Login with valid credential.
3.Click on content management &gt;Playlist &gt;Click on + Button"
4.Click On smart Playlist &gt; Drag &amp; drop from Playlist to Smart play list
5.Save Smart Playlist &amp; Preview play list</t>
  </si>
  <si>
    <t>User should able to Preview the playlist customize screen.</t>
  </si>
  <si>
    <t>Verify Total duration time of Smart Playlist</t>
  </si>
  <si>
    <t>1.Launch JioSignage  Sign In Page : https://digitalsignage.jio.com/users/sign_in .
2.Login with valid credential.
3.Click on content management &gt;Playlist &gt;Click on + Button"
4.Click On smart Playlist &gt; Drage &amp; drop from Playlist to Smart play list
5.Save Smart Playlist 
6. Check time duration</t>
  </si>
  <si>
    <t>User should able to check Total playlist Time duration</t>
  </si>
  <si>
    <t>Verify Close button -&gt; Verify Confirmation pop-up window</t>
  </si>
  <si>
    <t>1.Launch JioSignage  Sign In Page : https://digitalsignage.jio.com/users/sign_in .
2.Login with valid credential.
3.Click on content management &gt;Playlist &gt;Click on + Button"
4.Click On smart Playlist &gt; Drag &amp; drop from Playlist to Smart play list
5.Save Smart Playlist &amp; Preview play list
6.Close play list</t>
  </si>
  <si>
    <t>User should able to Close the playlist customize screen.</t>
  </si>
  <si>
    <t>Smart playlist name and Information button (I button)</t>
  </si>
  <si>
    <t xml:space="preserve">1.Launch JioSignage  Sign In Page : https://digitalsignage.jio.com/users/sign_in .
2.Login with valid credential.
3.Click content &gt; Playlist&gt;
4.Click On smart Playlist &gt; Drag &amp; drop from Playlist to Smart play list
5.Save Smart Playlist &amp; Preview play list
6.Hower in information detail </t>
  </si>
  <si>
    <t>User Should be able to get information when hover on information</t>
  </si>
  <si>
    <t>To verify filter icon on playlist.</t>
  </si>
  <si>
    <t>1.Launch JioSignage  Sign In Page : https://digitalsignage.jio.com/users/sign_in .
2.Login with valid credential.
3.Click on content management &gt;Playlist
4.Click playlist &gt; Click filter icon.</t>
  </si>
  <si>
    <t>test_FilteronName</t>
  </si>
  <si>
    <t>1.Launch JioSignage  Sign In Page : https://digitalsignage.jio.com/users/sign_in .
2.Login with valid credential.
3.Click on content management &gt;Playlist
4.Click playlist.
5.Enable check box.</t>
  </si>
  <si>
    <t>test_checkboxclikable()</t>
  </si>
  <si>
    <t>Deliver Smart Playlist</t>
  </si>
  <si>
    <t>To deliver Smart Playlist on Base Account from Head Account</t>
  </si>
  <si>
    <t>Precondition: 1.Existing display should be available
2. Smart Playlist is created
3. Schedule should be assigned to display
Steps:-
1.Launch JioSignage  Sign In Page : https://digitalsignage.jio.com/users/sign_in .
2.Login with valid credential.
3. Assign smart playlist to schedule.
4. Now navigate to display&gt;click on assign schedule &gt;choose base option.
5.Select display field choose any display and click on schedule choose schedule and click on deliver.</t>
  </si>
  <si>
    <t>User should be able to deliver Smart Playlist on Base Display from Head Account</t>
  </si>
  <si>
    <t>To deliver Smart Playlist on Base Display from Base Account</t>
  </si>
  <si>
    <t>Precondition: 1.Existing display should be available
2. Smart Playlist is created
3. Schedule should be assigned to display
Steps:-
1.Launch JioSignage  Sign In Page : https://digitalsignage.jio.com/users/sign_in .
2.Login with valid credential.
3. Assign smart playlist to schedule &gt; Display
4. Select a display using Checkbox with the schedule
5. Click on Deliver Instantly
6. Click on Deliver
7. Observe the display</t>
  </si>
  <si>
    <t>User should be able to deliver Smart Playlist on Base Display from Base Account</t>
  </si>
  <si>
    <t>Sub playlist</t>
  </si>
  <si>
    <t>Create a Sub Playlist (+-&gt;Add new Playlist-&gt;Sub Playlist)</t>
  </si>
  <si>
    <t xml:space="preserve">1.Launch JioSignage  Sign In Page : https://digitalsignage.jio.com/users/sign_in .
2.Login with valid credential.
3.Click on content management &gt;Playlist &gt; Click on + Button
4.Click On Normal Playlist &gt; Click on ADD button
5.Provide Name &amp; drag some content 
6Drage &amp; drop play list then save </t>
  </si>
  <si>
    <t>User should be able to create a sub play list</t>
  </si>
  <si>
    <t>Modify a Sub Playlist (+-&gt;Add new Playlist-&gt;Sub Playlist)</t>
  </si>
  <si>
    <t xml:space="preserve">1.Launch JioSignage  Sign In Page : https://digitalsignage.jio.com/users/sign_in .
2.Login with valid credential.
3.Click content management.
4.Click On Playlist &gt; open Playlist
5.change some content drag &amp; drop some content /Playlist then save </t>
  </si>
  <si>
    <t>User should be able to Modify a sub play list</t>
  </si>
  <si>
    <t>Delete a Sub Playlist (+-&gt;Add new Playlist-&gt;Sub Playlist)</t>
  </si>
  <si>
    <t>1.Launch JioSignage  Sign In Page : https://digitalsignage.jio.com/users/sign_in .
2.Login with valid credential.
3.Click content management
4.Click On Playlist &gt; open Playlist
5.Delete Play list</t>
  </si>
  <si>
    <t>User should be able to Delete  sub play list</t>
  </si>
  <si>
    <t>Preview Sub Playlist content</t>
  </si>
  <si>
    <t>1.Launch JioSignage  Sign In Page : https://digitalsignage.jio.com/users/sign_in .
2.Login with valid credential.
3.Click content management.
4.Click On Playlist &gt; open Playlist
5.Save &amp; preview the playlist</t>
  </si>
  <si>
    <t>User should be able to Preview  sub play list</t>
  </si>
  <si>
    <t>Verify Total duration time of Sub Playlist</t>
  </si>
  <si>
    <t xml:space="preserve">1.Launch JioSignage  Sign In Page : https://digitalsignage.jio.com/users/sign_in .
2.Login with valid credential.
3.Click content management.
4.Click On Playlist &gt; open Playlist
5.Save &amp; preview the playlist
6 Check duration
</t>
  </si>
  <si>
    <t>User should be able to verify total time duration</t>
  </si>
  <si>
    <t>1.Launch JioSignage  Sign In Page : https://digitalsignage.jio.com/users/sign_in .
2.Login with valid credential.
3.Click content management.
4.Click On Playlist &gt; open Playlist
5.Save &amp; Close</t>
  </si>
  <si>
    <t>User should be able to verify close popup</t>
  </si>
  <si>
    <t>Save sub Playlist</t>
  </si>
  <si>
    <t>User should be able to verify save</t>
  </si>
  <si>
    <t>Test name field for character , special char , number, _</t>
  </si>
  <si>
    <t>1.Launch JioSignage  Sign In Page : https://digitalsignage.jio.com/users/sign_in .
2.Login with valid credential.
3.Click on content management&gt; Playlist&gt;Click on + Button.
4.Click On Normal Playlist &gt; Playlist Name with Special character
5.Click on ADD button</t>
  </si>
  <si>
    <t>Deliver Playlist</t>
  </si>
  <si>
    <t>To deliver Playlist having Sub Playlist on Base Account from Head Account</t>
  </si>
  <si>
    <t>Precondition: 1.Existing display should be available
2. Playlist is created with Sub Playlist
3. Schedule should be assigned to display
Steps:-
1.Launch JioSignage  Sign In Page : https://digitalsignage.jio.com/users/sign_in .
2.Login with valid credential.
3. Assign Sub playlist to schedule &gt; Display
4. Now navigate to display&gt;click on assign schedule &gt;choose base option.
5.Select display and select schedule &gt;choose deliver option and click on deliver.</t>
  </si>
  <si>
    <t>User should be able to deliver Playlist with Sub playlist on Base Display from Head Account</t>
  </si>
  <si>
    <t>To deliver Sub Playlist on Base Display from Base Account</t>
  </si>
  <si>
    <t>Precondition: 
1.Existing display should be available
2. Playlist is created with Sub Playlist
3. Schedule should be assigned to display
Steps:-
1.Launch JioSignage  Sign In Page : https://digitalsignage.jio.com/users/sign_in .
2.Login with valid credential.
3. Assign Sub playlist to schedule &gt; Display
4. Select a display using Checkbox with the schedule
5. Click on Deliver Instantly
6. Click on Deliver
7. Observe the display</t>
  </si>
  <si>
    <t>User should be able to deliver Playlist with Sub playlist on Base Display from Base Account</t>
  </si>
  <si>
    <t>Playlist approve through approver</t>
  </si>
  <si>
    <t>1.Launch JioSignage  Sign In Page : https://preprod-jiosignage.jio.com .
2.Login with valid credential.
3.Click Playlist &gt; Add button
4Create smart Play list with approval
5.Click Contant &gt;&gt;Contant approval 
6.Approve the Smart Playlist</t>
  </si>
  <si>
    <t>User Should be able to approve Playlist</t>
  </si>
  <si>
    <t xml:space="preserve">Emergency content playlist in smart playlist </t>
  </si>
  <si>
    <t>1.Launch JioSignage  Sign In Page : https://digitalsignage.jio.com/users/sign_in .
2.Login with valid credential.
3.Click on content management&gt;playlist
4.Click playlist&gt; Add Playlist with Emergency Content.
5. Save Playlist 
6. Click on playlist &gt;&gt; Create smart Playlist &gt;&gt;Drag &amp; drop playlist with emergency content
7. Save playlist.</t>
  </si>
  <si>
    <t>user should be able to create  smart playlist with emergency content playlist</t>
  </si>
  <si>
    <t>Emergency content &amp; other content playlist  in sub playlist</t>
  </si>
  <si>
    <t>1.Launch JioSignage  Sign In Page : https://digitalsignage.jio.com/users/sign_in .
2.Login with valid credential.
3.Click on content management&gt;playlist
4.Click playlist&gt; Add Playlist with Emergency Content.
5. Save Playlist 
6. Click on playlist &gt;&gt; Create Sub Playlist with Normal content &amp; Em&gt;&gt;Drag &amp; drop playlist with emergency content
7. Save playlist.</t>
  </si>
  <si>
    <t>1.Launch JioSignage  Sign In Page : https://digitalsignage.jio.com/users/sign_in .
2.Login with valid credential.
3.Click on content management&gt;playlist&gt;click on head folder option.</t>
  </si>
  <si>
    <t>Content removed from playlist after adding in smart playlist</t>
  </si>
  <si>
    <t>1.Launch JioSignage  Sign In Page : https://digitalsignage.jio.com/users/sign_in .
2.Login with valid credential.
3.Click on content management&gt;playlist
4.Click playlist &gt;Create Smart Playlist&gt;
5.Click on  Playlist &gt;&gt;Delete content &gt; Save play list  .
6. Check Smart play list</t>
  </si>
  <si>
    <t>user should be able to Remove content from  playlist after adding smart playlist</t>
  </si>
  <si>
    <t>Content removed from playlist after adding in  sub playlist.</t>
  </si>
  <si>
    <t>1.Launch JioSignage  Sign In Page : https://digitalsignage.jio.com/users/sign_in .
2.Login with valid credential.
3.Click on content management&gt;playlist".
4.Click playlist &gt;Create Sub Playlist&gt;
5.Click on  Playlist &gt;&gt;Delete content &gt; Save play list  .
6. Check on sub play list</t>
  </si>
  <si>
    <t>user should be able to Remove content from  playlist after adding sub playlist</t>
  </si>
  <si>
    <t>Request for approval</t>
  </si>
  <si>
    <t>To verify Request for approval in Edit Playlist page</t>
  </si>
  <si>
    <t>Precondition: Playlist is created
1.Launch JioSignage  Sign In Page : https://digitalsignage.jio.com/users/sign_in .
2.Login with valid credential.
3. Click on content management&gt;playlist
4. Click on existing playlist.
5. Click on Request for approval button once changes are made</t>
  </si>
  <si>
    <t>Content should get approve .
"Approved" text should be reflected on approved content in Left Pane as well as Right Pane.</t>
  </si>
  <si>
    <t>Content</t>
  </si>
  <si>
    <t>Check user is able to Create a playlist from shared folder inside Layout page</t>
  </si>
  <si>
    <t xml:space="preserve">1.Launch JioSignage  Sign In Page : https://digitalsignage.jio.com/users/sign_in .
2.Login with valid credential.
3.Click on content management&gt;layout&gt;create shared folder and add some content 
4.Now&gt;Navigate to playlist&gt;create normal playlist&gt;click on shared folder &gt;Now drag and drop and observe the behavior.
                             </t>
  </si>
  <si>
    <t>user should able to create a Playlist from Shared folder from layout page.</t>
  </si>
  <si>
    <t>Shared</t>
  </si>
  <si>
    <t>Check user able to Create a shared folder in playlist page.</t>
  </si>
  <si>
    <t xml:space="preserve">1.Launch JioSignage  Sign In Page : https://digitalsignage.jio.com/users/sign_in .
2.Login with valid credential.
3.Click on content management&gt;Playlist&gt;click on create folder icon&gt;click on shared check box&gt;Enter name and save it  now observe in shared folder.
                             </t>
  </si>
  <si>
    <t>User should able to create the shared folder by enabling shared option from create folder page.</t>
  </si>
  <si>
    <t>Check user is able to click on shared option in play list main page.</t>
  </si>
  <si>
    <t xml:space="preserve">1.Launch JioSignage  Sign In Page : https://digitalsignage.jio.com/users/sign_in .
2.Login with valid credential.
3.Click on content management&gt;Playlist&gt;click on shared option and observe.
                             </t>
  </si>
  <si>
    <t>By clicking on shared option it should open shared page.</t>
  </si>
  <si>
    <t>Preview button</t>
  </si>
  <si>
    <t>Check user is able to click on preview icon from action field and able to see the preview.</t>
  </si>
  <si>
    <t xml:space="preserve">1.Launch JioSignage  Sign In Page : https://digitalsignage.jio.com/users/sign_in .
2.Login with valid credential.
3.Click on content management&gt;Playlist.
4.Choose any Existing playlist click on preview icon and observe. 
                             </t>
  </si>
  <si>
    <t>Preview page will open in display with content.</t>
  </si>
  <si>
    <t>Check user is able to close preview page by clicking on "X" button.</t>
  </si>
  <si>
    <t xml:space="preserve">1.Launch JioSignage  Sign In Page : https://digitalsignage.jio.com/users/sign_in .
2.Login with valid credential.
3.Click on content management&gt;Playlist.
4.Choose any Existing playlist click on preview icon from action field  and observe the preview box and click on "X" icon .
                             </t>
  </si>
  <si>
    <t>Preview page should close by clicking on "X".</t>
  </si>
  <si>
    <t>Playlist logs</t>
  </si>
  <si>
    <t>Check user is able to click playlist logs icon from action field.</t>
  </si>
  <si>
    <t xml:space="preserve">1.Launch JioSignage  Sign In Page : https://digitalsignage.jio.com/users/sign_in .
2.Login with valid credential.
3.Click on content management&gt;Playlist.
4.Choose any Existing playlist click on playlist logs and observe.
                             </t>
  </si>
  <si>
    <t>User should able to click on playlist logs icon from action field.</t>
  </si>
  <si>
    <t>Check user is able to See playlist logs by clicking on playlist icon from action field.</t>
  </si>
  <si>
    <t xml:space="preserve">1.Launch JioSignage  Sign In Page : https://digitalsignage.jio.com/users/sign_in .
2.Login with valid credential.
3.Click on content management&gt;Playlist.
4.Choose any Existing playlist click on playlist logs and observe the playlist activity logs like user, user activity and time stamp.
                             </t>
  </si>
  <si>
    <t>User should able to see the  playlist logs by clicking on playlist logs icon.</t>
  </si>
  <si>
    <t xml:space="preserve">Playlist </t>
  </si>
  <si>
    <t>Playlist name</t>
  </si>
  <si>
    <t>Check that the user is able to open created playlist by clicking on playlist name.</t>
  </si>
  <si>
    <t xml:space="preserve">1.Launch JioSignage  Sign In Page : https://digitalsignage.jio.com/users/sign_in .
2.Login with valid credential.
3.Click on content management&gt;Playlist.
4.Choose any Existing playlist click on it and observe 
                             </t>
  </si>
  <si>
    <t>User should able to open the playlist by clicking on playlist name in playlist main page.</t>
  </si>
  <si>
    <t>Tool tip</t>
  </si>
  <si>
    <t>Check that tool tip is listing when user hover on playlist name.</t>
  </si>
  <si>
    <t>1.Launch JioSignage  Sign In Page : https://digitalsignage.jio.com/users/sign_in .
2.Login with valid credential.
3.Click on content management&gt;Playlist.
4.Choose any Existing playlist place the mouse hover on it and observe.</t>
  </si>
  <si>
    <t>User should able to see the tool tip by placing mouse pointer on any playlist.</t>
  </si>
  <si>
    <t>Create playlist with image content</t>
  </si>
  <si>
    <t>User should be able to create a playlist with content</t>
  </si>
  <si>
    <t xml:space="preserve">1.Launch JioSignage  Sign In Page : https://digitalsignage.jio.com/users/sign_in .
2.Login with valid credential.
3.Click on content management &gt;Playlist.
4.Click playlist &gt; + icon on to right side.
5.Enter name of playlist.
6. Save .
7. Add 3 image file in playlist
8. Save.
</t>
  </si>
  <si>
    <t>User should be able to create playlist.</t>
  </si>
  <si>
    <t>test_createPlaylistWithImages</t>
  </si>
  <si>
    <t>Preview individual content in Playlist</t>
  </si>
  <si>
    <t>To verify preview of individual content in playlist</t>
  </si>
  <si>
    <t>Precondition: Playlist is created
1.Launch JioSignage  Sign In Page : https://digitalsignage.jio.com/users/sign_in .
2.Login with valid credential.
3. Go to Content management-&gt;Playlist
4. Click on existing playlist.
5. Click on preview button available on individual content of playlist
6. Validate that individual content preview is working as per expectation</t>
  </si>
  <si>
    <t>User should be able to see preview of individual content inside playlist</t>
  </si>
  <si>
    <t>test_previewOfIndividualContentInCreatedPlaylist</t>
  </si>
  <si>
    <t>Delete individual content in edit playlist page</t>
  </si>
  <si>
    <t>To verify individual delete content in Edit page of playlist</t>
  </si>
  <si>
    <t>Precondition: Playlist is created
1.Launch JioSignage  Sign In Page : https://digitalsignage.jio.com/users/sign_in .
2.Login with valid credential.
3. Go to Content management-&gt;Playlist
4. Click on existing playlist.
5. Delete any individual content inside playlist</t>
  </si>
  <si>
    <t>User should be able to delete individual content inside playlist</t>
  </si>
  <si>
    <t>test_deleteOfIndividualContentInCreatedPlaylist</t>
  </si>
  <si>
    <t>TC ID</t>
  </si>
  <si>
    <t>Add New Schedule</t>
  </si>
  <si>
    <t>To verify that user is able to create new schedule</t>
  </si>
  <si>
    <t>1. Launch JioSignage (https://digitalsignage.jio.com/users/sign_in) in browser.
2. Login with valid credential.
3. Click on layout Management &gt;Schedules.
4. Click on Add new Schedule (+) button available on the right side of the screen.</t>
  </si>
  <si>
    <t>Add new schedule screen should appear.</t>
  </si>
  <si>
    <t>test_verifyAddSchedule</t>
  </si>
  <si>
    <t>To verify enter all supported characters in name field to create schedule.[Supported Characters: Characters , Number , _]</t>
  </si>
  <si>
    <t>1. Launch JioSignage (https://digitalsignage.jio.com/users/sign_in) in browser.
2. Login with valid credential.
3. Click on layout Management &gt;Schedules.
4. Click on Add new Schedule (+) button available on the right side of the screen
5.Check able to Enter all character on enter name field.</t>
  </si>
  <si>
    <t>User should able to Enter all supported characters.</t>
  </si>
  <si>
    <t>test_verifyAddScheduleWithAllChar</t>
  </si>
  <si>
    <t>To verify all special characters in Name filed</t>
  </si>
  <si>
    <t>1. Launch JioSignage (https://digitalsignage.jio.com/users/sign_in) in browser.
2. Login with valid credential.
3. Click on layout Management &gt;Schedules.
4. Click on Add new Schedule (+) button available on the right side of the screen
5.Enter special characters e.g. new@# &gt; click on add &gt; observe.</t>
  </si>
  <si>
    <t>test_verifyScheduleNameWithSP</t>
  </si>
  <si>
    <t>To verify ADD functionality in add new schedule screen.</t>
  </si>
  <si>
    <t>1. Launch JioSignage (https://digitalsignage.jio.com/users/sign_in) in browser.
2. Login with valid credential.
3. Click on layout Management &gt;Schedules.
4. Click on Add new Schedule (+) button available on the right side of the screen
5.Enter name &gt; click add.</t>
  </si>
  <si>
    <t>User should able to view the schedule customize screen.</t>
  </si>
  <si>
    <t>test_verifyCustomizeSchedulePage</t>
  </si>
  <si>
    <t>To verify cancel functionality in add new schedule screen.</t>
  </si>
  <si>
    <t>1. Launch JioSignage (https://digitalsignage.jio.com/users/sign_in) in browser.
2. Login with valid credential.
3. Click on layout Management &gt;Schedules.
4. Click on Add new Schedule (+) button available on the right side of the screen
5.Enter name &gt; click cancel.</t>
  </si>
  <si>
    <t>User should close the add new schedule page.</t>
  </si>
  <si>
    <t>test_verifyCancelOptionOnAddSchedule</t>
  </si>
  <si>
    <t>To verify X icon on add new schedule screen.</t>
  </si>
  <si>
    <t>1. Launch JioSignage (https://digitalsignage.jio.com/users/sign_in) in browser.
2. Login with valid credential.
3. Click on layout Management &gt;Schedules.
4. Click on Add new Schedule (+) button available on the right side of the screen
5.Click X icon</t>
  </si>
  <si>
    <t>test_verifyCloseOptionOnAddSchedule</t>
  </si>
  <si>
    <t>Customize schedule</t>
  </si>
  <si>
    <t>To verify Edit name functionality in Schedule page</t>
  </si>
  <si>
    <t>1.Launch JioSignage  Sign In Page : https://digitalsignage.jio.com/users/sign_in .
2.Login with valid credential.
3.Click schedule &gt; + icon on to right side.
4.Enter name &gt; click add.
5.Click edit name icon on to left corner.</t>
  </si>
  <si>
    <t>User should edit the existing schedule name.</t>
  </si>
  <si>
    <t>test_verifyEditScheduleName</t>
  </si>
  <si>
    <t xml:space="preserve">To verify Update functionality in edit schedule name </t>
  </si>
  <si>
    <t>1.Launch JioSignage  Sign In Page : https://digitalsignage.jio.com/users/sign_in .
2.Login with valid credential.
3.Click schedule &gt; + icon on to right side.
4.Enter name &gt; click add.
5.Click edit name icon on to left corner &gt; enter name &gt; click on update</t>
  </si>
  <si>
    <t>Schedule name should update accordingly.</t>
  </si>
  <si>
    <t>test_verifyUpdateScheduleName</t>
  </si>
  <si>
    <t>To verify time duration functionality in schedule.</t>
  </si>
  <si>
    <t xml:space="preserve"> 1.Launch JioSignage  Sign In Page : https://digitalsignage.jio.com/users/sign_in .
2.Login with valid credential.
3.Click schedule &gt; + icon on to right side.
4.Enter name &gt; click add.
5.Click time duration option.</t>
  </si>
  <si>
    <t>User should able to view the time chart as per selection from time duration option(1hr , 30min , 15min , 10min and 05min)</t>
  </si>
  <si>
    <t>test_verifyScheduleTime</t>
  </si>
  <si>
    <t>To verify &lt; icon on schedule screen.</t>
  </si>
  <si>
    <t>1.Launch JioSignage  Sign In Page : https://digitalsignage.jio.com/users/sign_in .
2.Login with valid credential.
3.Click schedule &gt; + icon on to right side.
4.Enter name &gt; click add.
5.Click &lt; icon on top left corner</t>
  </si>
  <si>
    <t>&lt; icon should show the previous week schedule.</t>
  </si>
  <si>
    <t>test_verifyPreviousWeekOption</t>
  </si>
  <si>
    <t>To verify &gt; icon on schedule screen.</t>
  </si>
  <si>
    <t xml:space="preserve">1.Launch JioSignage  Sign In Page : https://digitalsignage.jio.com/users/sign_in .
2.Login with valid credential.
3.Click schedule &gt; + icon on to right side.
4.Enter name &gt; click add.
5.Click &gt; icon on top left corner.
</t>
  </si>
  <si>
    <t>&gt; icon should show the next week schedule.</t>
  </si>
  <si>
    <t>test_verifyNextWeekOption</t>
  </si>
  <si>
    <t>To verify today option on schedule screen.</t>
  </si>
  <si>
    <t>1.Launch JioSignage  Sign In Page : https://digitalsignage.jio.com/users/sign_in .
2.Login with valid credential.
3.Click schedule &gt; + icon on to right side.
4.Enter name &gt; click add.
5.Click &gt; icon on top left corner for two to three times &gt; click today.</t>
  </si>
  <si>
    <t>Present week and current day schedule Calendar should appear.</t>
  </si>
  <si>
    <t>test_verifyTodayOption</t>
  </si>
  <si>
    <t xml:space="preserve">To verify  layout search functionality in schedule screen. </t>
  </si>
  <si>
    <t>1.Launch JioSignage  Sign In Page : https://digitalsignage.jio.com/users/sign_in .
2.Login with valid credential.
3.Click schedule &gt; + icon on to right side.
4.Enter name &gt; click add.
5.Click layout search bar &gt; enter created layout name &gt; select .</t>
  </si>
  <si>
    <t>Searched layout should appear 
OR 
by click on layout it should show the existing layout and respective folders of it.</t>
  </si>
  <si>
    <t>test_verifyContentSearch</t>
  </si>
  <si>
    <t>To verify Drag and drop functionality in schedule screen</t>
  </si>
  <si>
    <t>1.Launch JioSignage  Sign In Page : https://digitalsignage.jio.com/users/sign_in .
2.Login with valid credential.
3.Click schedule &gt; + icon on to right side.
4.Enter name &gt; click add.
5.select layout &gt; drag &amp; drop the layout to week chart .</t>
  </si>
  <si>
    <t>User should able to drag &amp; drop the layout into week schedule.</t>
  </si>
  <si>
    <t>test_verifyDragDrop</t>
  </si>
  <si>
    <t>To verify Edit schedule details functionality in schedule screen</t>
  </si>
  <si>
    <t>1.Launch JioSignage  Sign In Page : https://digitalsignage.jio.com/users/sign_in .
2.Login with valid credential.
3.Click schedule &gt; + icon on to right side.
4.Enter name &gt; click add.
5.select layout &gt; drag &amp; drop the layout to week chart.
6.Click that dropped layout.</t>
  </si>
  <si>
    <t>Edit schedule details page should open.</t>
  </si>
  <si>
    <t>To verify start time functionality in edit schedule details page.</t>
  </si>
  <si>
    <t>1.Launch JioSignage  Sign In Page : https://digitalsignage.jio.com/users/sign_in .
2.Login with valid credential.
3.Click schedule &gt; + icon on to right side.
4.Enter name &gt; click add.
5.select layout &gt; drag &amp; drop the layout to week chart.
6.Click that dropped layout&gt; click clock icon of start time.
7. set the time</t>
  </si>
  <si>
    <t>User should set the time as per wish.</t>
  </si>
  <si>
    <t>test_verifyStartTime</t>
  </si>
  <si>
    <t>To verify end time functionality in edit schedule details page.</t>
  </si>
  <si>
    <t>1.Launch JioSignage  Sign In Page : https://digitalsignage.jio.com/users/sign_in .
2.Login with valid credential.
3.Go to  schedule &gt;Open any Schedule.
4.Drag and drop any item(layout/playlist)to schedule page time slot.
5.Click  on dropped item&gt;click clock icon of start time&gt;set end time.</t>
  </si>
  <si>
    <t>test_verifyEndTime</t>
  </si>
  <si>
    <t>To verify the check box of "repeat the duration" in edit schedule details page.</t>
  </si>
  <si>
    <t xml:space="preserve">1.Launch JioSignage  Sign In Page : https://digitalsignage.jio.com/users/sign_in .
2.Login with valid credential.
3.Click schedule &gt; + icon on to right side.
4.Enter name &gt; click add.
5.select layout &gt; drag &amp; drop the layout to week chart.
6.Click that dropped layout&gt; set start and end time.
7.click check box of repeat the duration.
</t>
  </si>
  <si>
    <t>Check box should enable and start date &amp; end date option should open.</t>
  </si>
  <si>
    <t>test_verifyRepeatCheckBox</t>
  </si>
  <si>
    <t>To verify the start date option on edit schedule page when after enabled check box of repeat the duration.</t>
  </si>
  <si>
    <t>1.Launch JioSignage  Sign In Page : https://digitalsignage.jio.com/users/sign_in .
2.Login with valid credential.
3.Click schedule &gt; + icon on to right side.
4.Enter name &gt; click add.
5.select layout &gt; drag &amp; drop the layout to week chart.
6.Click that dropped layout&gt; set start and end time.
7.click check box of repeat the duration.
8.click start date and set</t>
  </si>
  <si>
    <t xml:space="preserve">User can set any date as start date </t>
  </si>
  <si>
    <t>test_verifyStartDate</t>
  </si>
  <si>
    <t>To verify the End date option on edit schedule page when after enabled check box of repeat the duration.</t>
  </si>
  <si>
    <t>1.Launch JioSignage  Sign In Page : https://digitalsignage.jio.com/users/sign_in .
2.Login with valid credential.
3.Click schedule &gt; + icon on to right side.
4.Enter name &gt; click add.
5.select layout &gt; drag &amp; drop the layout to week chart.
6.Click that dropped layout&gt; set start and end time.
7.click check box of repeat the duration.
8.click End date and set</t>
  </si>
  <si>
    <t xml:space="preserve">User can set any date as End date but it should not before date of start date. </t>
  </si>
  <si>
    <t>test_verifyEndDate</t>
  </si>
  <si>
    <t>To verify Save functionality in edit schedule details.</t>
  </si>
  <si>
    <t>1.Launch JioSignage  Sign In Page : https://digitalsignage.jio.com/users/sign_in .
2.Login with valid credential.
3.Click schedule &gt; + icon on to right side.
4.Enter name &gt; click add.
5.select layout &gt; drag &amp; drop the layout to week chart.
6.Click that dropped layout&gt; set start and end time.
7.Click save</t>
  </si>
  <si>
    <t>Schedule should be saved with updated changes.</t>
  </si>
  <si>
    <t>test_verifySaveSchedule</t>
  </si>
  <si>
    <t>To verify cancel functionality in edit schedule details.</t>
  </si>
  <si>
    <t>1.Launch JioSignage  Sign In Page : https://digitalsignage.jio.com/users/sign_in .
2.Login with valid credential.
3.Go to  schedule &gt;Open any Schedule.
4.Drag and drop any item(layout/playlist)to schedule page time slot.
5.Click  on dropped item.
6. Click on cancel option.</t>
  </si>
  <si>
    <t>edit pop up should be closed and it should not save the changes done.</t>
  </si>
  <si>
    <t>test_verifyCancelOptionOnSchedule</t>
  </si>
  <si>
    <t>To verify delete functionality in edit schedule details.</t>
  </si>
  <si>
    <t>1.Launch JioSignage  Sign In Page : https://digitalsignage.jio.com/users/sign_in .
2.Login with valid credential.
3.Click schedule &gt; + icon on to right side.
4.Enter name &gt; click add.
5.select layout &gt; drag &amp; drop the layout to week chart.
6.Click that dropped layout&gt; set start and end time.
7.Click on delete option &gt;verify delete the item.</t>
  </si>
  <si>
    <t xml:space="preserve">selected layout/playlist which is added to schedule should be removed from respective time slot.
</t>
  </si>
  <si>
    <t>test_verifyDeleteOptionOnSchedule</t>
  </si>
  <si>
    <t>To verify Folder functionality in Edit Schedule page</t>
  </si>
  <si>
    <t xml:space="preserve">1.Launch JioSignage  Sign In Page : https://digitalsignage.jio.com/users/sign_in .
2.Login with valid credential.
3.Click schedule &gt; + icon on to right side.
4.Enter name &gt; click add.
5. Verify existing Folder is available </t>
  </si>
  <si>
    <t>User should be able to click on + icon on Folder and should able to see layout of it and can drag and drop</t>
  </si>
  <si>
    <t>test_verifyDragAndDropFromFolder</t>
  </si>
  <si>
    <t>To verify current date is displayed on Edit Schedule page</t>
  </si>
  <si>
    <t xml:space="preserve"> 1.Launch JioSignage  Sign In Page : https://digitalsignage.jio.com/users/sign_in .
2.Login with valid credential.
3.Click schedule &gt; + icon on to right side.
4.Enter name &gt; click add.
5. Verify current date is displayed</t>
  </si>
  <si>
    <t>Verify that current date is displayed in Edit Schedule page</t>
  </si>
  <si>
    <t>test_verifyCurrentDate</t>
  </si>
  <si>
    <t>To verify close button functionality on Edit Schedule page</t>
  </si>
  <si>
    <t>1.Launch JioSignage  Sign In Page : https://digitalsignage.jio.com/users/sign_in .
2.Login with valid credential.
3.Click schedule &gt; + icon on to right side.
4.Enter name &gt; click add.
5. Verify close button functionality</t>
  </si>
  <si>
    <t>User should be able to close Edit Schedule page on clicking Close button</t>
  </si>
  <si>
    <t>test_verifyCloseOptionOnEditSchedule</t>
  </si>
  <si>
    <t>To verify "All Day" functionality in Edit Schedule page</t>
  </si>
  <si>
    <t>1.Launch JioSignage  Sign In Page : https://digitalsignage.jio.com/users/sign_in .
3.Click schedule &gt; + icon on to right side.
4.Enter name &gt; click add.
5.drag and drop layout to the all day time slot.
6. Verify "All Day" functionality.</t>
  </si>
  <si>
    <t>Selected item should be set to whole day.</t>
  </si>
  <si>
    <t>Trigger</t>
  </si>
  <si>
    <t>To verify Add trigger functionality in schedule</t>
  </si>
  <si>
    <t>1.Launch JioSignage  Sign In Page : https://digitalsignage.jio.com/users/sign_in .
2.Login with valid credential.
3.Click schedule &gt; + icon on to right side.
4.Enter name &gt; click add.
5.Click add trigger option.</t>
  </si>
  <si>
    <t>Add trigger page should open.</t>
  </si>
  <si>
    <t>test_verifyAddTrigger</t>
  </si>
  <si>
    <t>Create a Trigger &amp; Run</t>
  </si>
  <si>
    <t>1.Launch JioSignage  Sign In Page : https://digitalsignage.jio.com/users/sign_in .
2.Login with valid credential.
3.Click schedule &gt; + icon on to right side.
4.Enter name &gt; click add.
5.Click add trigger option.
6. Add name of Trigger.
7. Select layout/Playlist.
8 Select Preferences - Daily/Weekly Or any particular day.
9. Add schedule for trigger - Start date , End date , Start time , End Time , Repetition "Yes or No".
10 Click on Add Schedule.</t>
  </si>
  <si>
    <t>layout/playlist should be triggered/observed on client display as per set in trigger.</t>
  </si>
  <si>
    <t>Verify Cancel button functionality in Add Trigger page</t>
  </si>
  <si>
    <t>1.Launch JioSignage  Sign In Page : https://digitalsignage.jio.com/users/sign_in .
2.Login with valid credential.
3.Click schedule &gt; + icon on to right side.
4.Enter name &gt; click add.
5.Click add trigger option and click on Cancel button</t>
  </si>
  <si>
    <t>User should be able to close Trigger window when click on Cancel button</t>
  </si>
  <si>
    <t>test_verifyCancelOptionOnAddTrigger</t>
  </si>
  <si>
    <t xml:space="preserve">Verify Added trigger is showing in Trigger page </t>
  </si>
  <si>
    <t>1.Launch JioSignage  Sign In Page : https://digitalsignage.jio.com/users/sign_in .
2.Login with valid credential.
3.Go to  schedule &gt;Open any Schedule.
4.click on add trigger option from top right of the page.
5.Click add time trigger option.
6.fill the mandatory fields &gt; click on add to save trigger.
5.Observe add trigger page.</t>
  </si>
  <si>
    <t>Verify that user is able to view created Triggers from add trigger page</t>
  </si>
  <si>
    <t>test_AddTrigger</t>
  </si>
  <si>
    <t>Verify  Edit name functionality in Add Trigger page</t>
  </si>
  <si>
    <t xml:space="preserve">1.Launch JioSignage  Sign In Page : https://digitalsignage.jio.com/users/sign_in .
2.Login with valid credential.
3.Go to Schedule &gt; open the schedule &gt; click on add trigger.
4.Click on Edit icon of the time trigger option.
3.Edit the trigger name &gt; click on save .
</t>
  </si>
  <si>
    <t>Trigger name should be observed as updated.</t>
  </si>
  <si>
    <t xml:space="preserve">Verify Playlist and layout can be selected in Add Trigger page </t>
  </si>
  <si>
    <t>1.Launch JioSignage  Sign In Page : https://digitalsignage.jio.com/users/sign_in .
2.Login with valid credential.
3.Click schedule &gt; + icon on to right side.
4.Enter name &gt; click add.
5.Click add trigger option.
6. Add name of Trigger.
7. Select layout and Playlist.
8 Select Preferences - Daily/Weekly Or any particular day.
9. Add schedule for trigger - Start date , End date , Start time , End Time , Repetition "Yes or No".
10 Click on Add Schedule</t>
  </si>
  <si>
    <t>&gt;user should able to select layout or playlist option from the dropdown.
&gt;By Click on layout &gt;select layout option should be observed and user should able to search and select the layout.
&gt;By Click on playlist&gt;select playlist option should be observed and user should able to search and select the playlist.</t>
  </si>
  <si>
    <t>Verify Preferences option can be selected and able to successfully trigger it</t>
  </si>
  <si>
    <t>1.Launch JioSignage  Sign In Page : https://digitalsignage.jio.com/users/sign_in .
2.Login with valid credential.
3.Click schedule &gt; + icon on to right side.
4.Enter name &gt; click add.
5.Click add trigger option.
6. Add name of Trigger.
7. Select layout and Playlist.
8 Select Preferences - Daily &amp; Weekly &amp; any particular day.
9. Add schedule for trigger - Start date , End date , Start time , End Time , Repetition "Yes or No".
10.Click on Add Schedule</t>
  </si>
  <si>
    <t xml:space="preserve">&gt;User should be able to set preferences Daily or weekly.
&gt;If user has set trigger for weekdays basis e.g.. MON ,WED and delivered the schedule to display then trigger should be observed on selected day only.
</t>
  </si>
  <si>
    <t>Verify able to set Date &amp; time of the trigger</t>
  </si>
  <si>
    <t>1.Launch JioSignage  Sign In Page : https://digitalsignage.jio.com/users/sign_in .
2.Login with valid credential.
3.Click schedule &gt; + icon on to right side.
4.Enter name &gt; click add.
5.Click add trigger option.
6. Add name of Trigger.
7. Select layout / Playlist.
8 Select Preferences - Daily / Weekly / any particular day.
9. Add schedule for trigger - Start date , End date , Start time , End Time , Repetition "Yes or No".
10. Click on Add Schedule</t>
  </si>
  <si>
    <t xml:space="preserve">user should able to set start date , end date and start time of the trigger </t>
  </si>
  <si>
    <t>test_addtrigger</t>
  </si>
  <si>
    <t xml:space="preserve">Verify able to set repeated trigger </t>
  </si>
  <si>
    <t>1.Launch JioSignage  Sign In Page : https://digitalsignage.jio.com/users/sign_in .
2.Login with valid credential.
3.Click schedule &gt; + icon on to right side.
4.Enter name &gt; click add.
5.Click add trigger option.
6. Add name of Trigger.
7. Select layout / Playlist.
8 Select Preferences - Daily / Weekly / any particular day.
9. Add schedule for trigger - Start date , End date , Start time , End Time , 13. Repetition "Yes or No".
10 Click on Add Schedule</t>
  </si>
  <si>
    <t>user should able to set trigger repeated at and end time of it.</t>
  </si>
  <si>
    <t>test_addtriggerRepeat</t>
  </si>
  <si>
    <t xml:space="preserve">Schedule </t>
  </si>
  <si>
    <t>Verify the head Folder functionality of schedule page</t>
  </si>
  <si>
    <t>1.Launch JioSignage  Sign In Page : https://digitalsignage.jio.com/users/sign_in .
2.Login with valid credential.
3.Click schedule &gt; trashed &gt; Head folder.</t>
  </si>
  <si>
    <t>Head folder of schedule should list the all created schedules.</t>
  </si>
  <si>
    <t>test_verifyHeadFolderInSchedule</t>
  </si>
  <si>
    <t>To verify the Trashed functionality of schedule page</t>
  </si>
  <si>
    <t>1.Launch JioSignage  Sign In Page : https://digitalsignage.jio.com/users/sign_in .
2.Login with valid credential.
3.Click schedule &gt; trashed.</t>
  </si>
  <si>
    <t>Delete schedules should be appear on trashed page.</t>
  </si>
  <si>
    <t>test_verifyTrashedSchedule</t>
  </si>
  <si>
    <t>Trashed Schedule</t>
  </si>
  <si>
    <t>To verify search functionality in schedule &gt; trashed.</t>
  </si>
  <si>
    <t>1.Launch JioSignage  Sign In Page : https://digitalsignage.jio.com/users/sign_in .
2.Login with valid credential.
3.Click layout &gt; material&gt; upload raw material.
4.Click search icon.
5.Enter deleted schedule name.</t>
  </si>
  <si>
    <t>Searched schedule should appear.</t>
  </si>
  <si>
    <t>test_verifySearchScheduleInTrashed</t>
  </si>
  <si>
    <t>To verify check box functionality in schedule &gt; trashed.</t>
  </si>
  <si>
    <t xml:space="preserve">1.Launch JioSignage  Sign In Page : https://digitalsignage.jio.com/users/sign_in .
2.Login with valid credential.
3.Click schedule &gt; trashed.
4.Enable check box.
</t>
  </si>
  <si>
    <t>test_verifyCheckOptionOnScheduleTrashed</t>
  </si>
  <si>
    <t>To verify more option in schedule &gt; trashed</t>
  </si>
  <si>
    <t>1.Launch JioSignage  Sign In Page : https://digitalsignage.jio.com/users/sign_in .
2.Login with valid credential.
3.Click schedule &gt; trashed.
4.Enable check box &gt; Click Three dot(top right corner)</t>
  </si>
  <si>
    <t>test_verifyMoreOptionInsideTrash</t>
  </si>
  <si>
    <t>To verify "OK" functionality in Restore Confirmation pop up of schedule &gt; trashed</t>
  </si>
  <si>
    <t>1.Launch JioSignage  Sign In Page : https://digitalsignage.jio.com/users/sign_in .
2.Login with valid credential.
3.Click schedule &gt; trashed.
4.Enable check box &gt; Click Three dot(top right corner).
5.Click Restore &gt;Click ok.</t>
  </si>
  <si>
    <t>Schedule should restore successfully and that schedule should appear on main schedule page.</t>
  </si>
  <si>
    <t>test_verifyRestoreSchedule</t>
  </si>
  <si>
    <t>To verify "Cancel" functionality in Restore Confirmation pop up of schedule &gt; trashed</t>
  </si>
  <si>
    <t>1.Launch JioSignage  Sign In Page : https://digitalsignage.jio.com/users/sign_in .
2.Login with valid credential.
3.Click schedule &gt; trashed.
4.Enable check box &gt; Click Three dot(top right corner).
5.Click Restore &gt;Click cancel.</t>
  </si>
  <si>
    <t>test_verifyCancelOnRestoreSchedule</t>
  </si>
  <si>
    <t>To verify "X" icon functionality in Restore Confirmation pop up of schedule &gt; trashed</t>
  </si>
  <si>
    <t>1.Launch JioSignage  Sign In Page : https://digitalsignage.jio.com/users/sign_in .
2.Login with valid credential.
3.Click schedule &gt; trashed.
4.Enable check box &gt; Click Three dot(top right corner).
5.Click Restore &gt;Click close(X) icon.</t>
  </si>
  <si>
    <t>test_verifyCloseOnRestoreSchedule</t>
  </si>
  <si>
    <t>To verify Delete completely functionality in Schedule &gt; trashed</t>
  </si>
  <si>
    <t>1.Launch JioSignage  Sign In Page : https://digitalsignage.jio.com/users/sign_in .
2.Login with valid credential.
3.Click schedule &gt; trashed.
4.Enable check box &gt; Click Three dot(top right corner).
5.Click Delete completely..</t>
  </si>
  <si>
    <t>Delete completely pop up should be observed,</t>
  </si>
  <si>
    <t>test_verifyCompleteDeleteSchedule</t>
  </si>
  <si>
    <t>To verify "OK" functionality in delete Confirmation pop up of schedule &gt; trashed</t>
  </si>
  <si>
    <t>1.Launch JioSignage  Sign In Page : https://digitalsignage.jio.com/users/sign_in .
2.Login with valid credential.
3.Click schedule &gt; trashed.
4.Enable check box &gt; Click Three dot(top right corner).
5.Click delete completely &gt;Click ok.</t>
  </si>
  <si>
    <t>Schedule should delete successfully.</t>
  </si>
  <si>
    <t>test_verifyOkButtonOnDeleteSchedule</t>
  </si>
  <si>
    <t>To verify "Cancel" functionality in Delete Confirmation pop up of schedule &gt; trashed</t>
  </si>
  <si>
    <t>1.Launch JioSignage  Sign In Page : https://digitalsignage.jio.com/users/sign_in .
2.Login with valid credential.
3.Click schedule &gt; trashed.
4.Enable check box &gt; Click Three dot(top right corner).
5.Click delete completely &gt;Click Cancel.</t>
  </si>
  <si>
    <t>test_verifyCancelButtonOnDeleteSchedule</t>
  </si>
  <si>
    <t>To verify "X" icon functionality in delete Confirmation pop up of schedule &gt; trashed</t>
  </si>
  <si>
    <t>1.Launch JioSignage  Sign In Page : https://digitalsignage.jio.com/users/sign_in .
2.Login with valid credential.
3.go to schedule &gt; trashed.
4.Enable check box &gt; Click Three dot(top right corner).
5.Click delete completely &gt;Click x icon.</t>
  </si>
  <si>
    <t>test_verifyCloseButtonOnDeleteSchedule</t>
  </si>
  <si>
    <t>To verify scroll up and down functionality in trashed schedule page.</t>
  </si>
  <si>
    <t>1.Launch JioSignage  Sign In Page : https://digitalsignage.jio.com/users/sign_in .
2.Login with valid credential.
3.go to schedule &gt; trashed.
4.Scroll up and down the screen.</t>
  </si>
  <si>
    <t>test_verifyScrollInTrashed</t>
  </si>
  <si>
    <t>To verify Number of entries in Schedule page.</t>
  </si>
  <si>
    <t>1.Launch JioSignage  Sign In Page : https://digitalsignage.jio.com/users/sign_in .
2.Login with valid credential.
3.Click schedule &gt; trashed.
4.Click number near to text show which is available on bottom left corner.</t>
  </si>
  <si>
    <t>test_trashedSchedule</t>
  </si>
  <si>
    <t>To verify right arrow (&gt;) on bottom right corner on trashed schedule page.</t>
  </si>
  <si>
    <t>1.Launch JioSignage  Sign In Page : https://digitalsignage.jio.com/users/sign_in .
2.Login with valid credential.
3.Click schedule &gt; trashed.
4.Click (&gt;) arrow on bottom right corner.</t>
  </si>
  <si>
    <t>Schedule entries should open the next screen.</t>
  </si>
  <si>
    <t>test_verifyNextButtonOnTrashed</t>
  </si>
  <si>
    <t>To verify left arrow (&lt;) on bottom right corner on trashed schedule page.</t>
  </si>
  <si>
    <t>1.Launch JioSignage  Sign In Page : https://digitalsignage.jio.com/users/sign_in .
2.Login with valid credential.
3.Click schedule &gt; trashed.
4.Click (&lt;) arrow on bottom right corner.</t>
  </si>
  <si>
    <t>Schedule entries should open the previous screen.</t>
  </si>
  <si>
    <t>test_verifyPreviousButtonOnTrashed</t>
  </si>
  <si>
    <t>To verify create folder functionality in  schedule page.</t>
  </si>
  <si>
    <t xml:space="preserve">1.Launch JioSignage  Sign In Page : https://digitalsignage.jio.com/users/sign_in .
2.Login with valid credential.
3.go to  schedule &gt; Click create folder icon.
</t>
  </si>
  <si>
    <t xml:space="preserve">Create folder screen should be observed </t>
  </si>
  <si>
    <t>test_verifyCreateFolder</t>
  </si>
  <si>
    <t>To verify enter all supported characters in name field of Create folder to create a folder.[Supported Characters : Characters , Number , _ ]</t>
  </si>
  <si>
    <t xml:space="preserve">1.Launch JioSignage  Sign In Page : https://digitalsignage.jio.com/users/sign_in .
2.Login with valid credential.
3.Click schedule &gt; create folder icon on to right side.
4.Enter all character.
</t>
  </si>
  <si>
    <t>User should able to Enter all the supported characters while creating Folder</t>
  </si>
  <si>
    <t>test_verifyAllCharInCreateFolder</t>
  </si>
  <si>
    <t>1.Launch JioSignage  Sign In Page : https://digitalsignage.jio.com/users/sign_in .
2.Login with valid credential.
3.Go to  schedule &gt; Click on create folder icon on to right side.
4.Enter special characters as name e.g.. new@100.
5.Click on Add &gt;observe.</t>
  </si>
  <si>
    <t>Only letters, numbers and _are allowed error message should appear on pop up</t>
  </si>
  <si>
    <t>test_verifySCInCreateFolder</t>
  </si>
  <si>
    <t>1.Launch JioSignage  Sign In Page : https://digitalsignage.jio.com/users/sign_in .
2.Login with valid credential.
3.Go to  schedule &gt; Click on create folder icon on to right side.
4.Enter valid  name &gt; click on add.</t>
  </si>
  <si>
    <t>test_verifyAddButtonOnCreateFolder</t>
  </si>
  <si>
    <t>1.Launch JioSignage  Sign In Page : https://digitalsignage.jio.com/users/sign_in .
2.Login with valid credential.
3.Go to  schedule &gt; Click on create folder icon on to right side.
4.Enter valid  name &gt; click on cancel option of pop up.</t>
  </si>
  <si>
    <t xml:space="preserve"> Create folder pop up screen should get Close.</t>
  </si>
  <si>
    <t>test_verifyCancelButtonOnCreateFolder</t>
  </si>
  <si>
    <t>1.Launch JioSignage  Sign In Page : https://digitalsignage.jio.com/users/sign_in .
2.Login with valid credential.
3.Go to  schedule &gt; Click on create folder icon on to right side.
4.Enter valid  name &gt; click on X icon of pop up.</t>
  </si>
  <si>
    <t>User should close the add create folder pop up screen.</t>
  </si>
  <si>
    <t>test_verifyCloseOptionOnCreateFolder</t>
  </si>
  <si>
    <t xml:space="preserve">To verify dropdown icon of root in schedule </t>
  </si>
  <si>
    <t>1.Launch JioSignage  Sign In Page : https://digitalsignage.jio.com/users/sign_in .
2.Login with valid credential.
3.Go to schedule &gt; click on create folder icon &gt; create folder.
4.click Dropdown icon of root.</t>
  </si>
  <si>
    <t>test_verifyFolders</t>
  </si>
  <si>
    <t xml:space="preserve">To verify search functionality in root dropdown </t>
  </si>
  <si>
    <t>1.Launch JioSignage  Sign In Page : https://digitalsignage.jio.com/users/sign_in .
2.Login with valid credential.
3.Go to schedule &gt; click on create folder icon &gt; create folder.
4.click Dropdown icon of root&gt;click search bar.
5.Enter folder name.</t>
  </si>
  <si>
    <t>Searched folder should filter properly.</t>
  </si>
  <si>
    <t>test_selectFolderFromDropdown</t>
  </si>
  <si>
    <t>To verify select any folder over root dropdown.</t>
  </si>
  <si>
    <t>1.Launch JioSignage  Sign In Page : https://digitalsignage.jio.com/users/sign_in .
2.Login with valid credential.
3.Go to schedule &gt; click on create folder icon &gt; create folder.
4.click Dropdown icon of root&gt;click on the folder from list.</t>
  </si>
  <si>
    <t>test_selectFolderFromDropdownAndOpen</t>
  </si>
  <si>
    <t>To verify search functionality in schedule.</t>
  </si>
  <si>
    <t>1.Launch JioSignage  Sign In Page : https://digitalsignage.jio.com/users/sign_in .
2.Login with valid credential.
3.Go to schedule &gt; Click on search box.
4.Enter schedule name.</t>
  </si>
  <si>
    <t>test_verifyScheduleSearch</t>
  </si>
  <si>
    <t>To verify filter icon on schedule.</t>
  </si>
  <si>
    <t>1.Launch JioSignage  Sign In Page : https://digitalsignage.jio.com/users/sign_in .
2.Login with valid credential.
3.Go to schedule &gt; Click on  filter icon from search box.
4. observe schedule  name  header.</t>
  </si>
  <si>
    <t>Search bar should appear on the schedule name and user should able to search the schedule name within search results</t>
  </si>
  <si>
    <t>test_verifyFilterSearch</t>
  </si>
  <si>
    <t>To verify check box functionality in schedule.</t>
  </si>
  <si>
    <t>1.Launch JioSignage  Sign In Page : https://digitalsignage.jio.com/users/sign_in .
2.Login with valid credential.
3.Go to  schedule page.
4.Select item from the list by click on the checkbox of respective schedule.</t>
  </si>
  <si>
    <t>User should able to select the schedule using checkbox and should able to  access more option.</t>
  </si>
  <si>
    <t>test_verifyCheckOptionOnSchedule</t>
  </si>
  <si>
    <t>To verify click on schedule name.</t>
  </si>
  <si>
    <t xml:space="preserve">1.Launch JioSignage  Sign In Page : https://digitalsignage.jio.com/users/sign_in .
2.Login with valid credential.
3.Go to  schedule.
4.Click any schedule name. </t>
  </si>
  <si>
    <t>Edit schedule screen should open.</t>
  </si>
  <si>
    <t>test_verifyClickOnScheduleName</t>
  </si>
  <si>
    <t>To verify drag and drop functionality after click schedule name in main schedule page.</t>
  </si>
  <si>
    <t>1.Launch JioSignage  Sign In Page : https://digitalsignage.jio.com/users/sign_in .
2.Login with valid credential.
3.Go to schedule.
4.Click on any schedule name &gt; drag and drop the layout/playlist from search list to calendar sheet.</t>
  </si>
  <si>
    <t>User should to modify the layout/playlist in existing schedule.</t>
  </si>
  <si>
    <t>test_verifyDragDropForExistingSchedule</t>
  </si>
  <si>
    <t>To verify edit schedule details page while modifying the existing schedule.</t>
  </si>
  <si>
    <t>1.Launch JioSignage  Sign In Page : https://digitalsignage.jio.com/users/sign_in .
2.Login with valid credential.
3.Go to schedule.
4.Click on existing schedule name to open it &gt; drag and drop the layout/playlist from search list to calendar sheet.
5. click dropped layout/playlist in calendar sheet.</t>
  </si>
  <si>
    <t>test_EditSchedule</t>
  </si>
  <si>
    <t>To verify start time and end time in edit schedule details page when modifying the existing schedule.</t>
  </si>
  <si>
    <t>1.Launch JioSignage  Sign In Page : https://digitalsignage.jio.com/users/sign_in .
2.Login with valid credential.
3.Go to schedule.
4.Click on existing schedule name to open it &gt; drag and drop the layout/playlist from search list to calendar sheet.
5.click dropped layout/playlist in calendar sheet &gt;check able to edit the start and end time.</t>
  </si>
  <si>
    <t>User should able to modifies the time as per own wish.</t>
  </si>
  <si>
    <t>test_verifyUpdateTime</t>
  </si>
  <si>
    <t>To verify Edit icon on schedule</t>
  </si>
  <si>
    <t>1.Launch JioSignage  Sign In Page : https://digitalsignage.jio.com/users/sign_in .
2.Login with valid credential.
3.Go to schedule.
4.Select any schedule name &gt; Click on Edit icon from action.</t>
  </si>
  <si>
    <t>test_verifyEditSchedule</t>
  </si>
  <si>
    <t>To verify enter all supported characters in Edit schedule field [Supported Characters : Letter , Number , _]</t>
  </si>
  <si>
    <t>1.Launch JioSignage  Sign In Page : https://digitalsignage.jio.com/users/sign_in .
2.Login with valid credential.
3.Go to schedule .
4.Click on edit icon from action of the schedule &gt;Check able to Enter all character on enter name field.</t>
  </si>
  <si>
    <t>User should able to Enter all supported characters while adding folder</t>
  </si>
  <si>
    <t>test_AllCharInEditSchedule</t>
  </si>
  <si>
    <t>To verify all special characters in Name filed of Edit schedule filed.</t>
  </si>
  <si>
    <t>1.Launch JioSignage  Sign In Page : https://digitalsignage.jio.com/users/sign_in .
2.Login with valid credential.
3.Go to schedule &gt; Click Edit icon from actions of the existing schedule.
4.Enter special character e.g.. new@#12 &gt; Click on save.</t>
  </si>
  <si>
    <t>Only letters, numbers and _are allowed error message should  appear.</t>
  </si>
  <si>
    <t>test_sc_editSchedule</t>
  </si>
  <si>
    <t>To verify Save functionality in Edit schedule pop up screen.</t>
  </si>
  <si>
    <t>1.Launch JioSignage  Sign In Page : https://digitalsignage.jio.com/users/sign_in .
2.Login with valid credential.
3.Go to schedule &gt; Click Edit icon of any schedule..
4.Enter name &gt; click Save.</t>
  </si>
  <si>
    <t>Schedule name should be updated as per saved changes.</t>
  </si>
  <si>
    <t>test_verifySaveButtonOnEditSchName</t>
  </si>
  <si>
    <t>1.Launch JioSignage  Sign In Page : https://digitalsignage.jio.com/users/sign_in .
2.Login with valid credential.
3.Go to schedule &gt; Click Edit icon of any schedule..
4.Enter name &gt; click on cancel.</t>
  </si>
  <si>
    <t>User should close the Edit schedule pop up screen.</t>
  </si>
  <si>
    <t>test_verifyCancelOptionOnEditScheduleName</t>
  </si>
  <si>
    <t>To verify X icon on Edit schedule pop up screen.</t>
  </si>
  <si>
    <t>1.Launch JioSignage  Sign In Page : https://digitalsignage.jio.com/users/sign_in .
2.Login with valid credential.
3.Go to schedule &gt; Click Edit icon of any schedule..
4.Enter name &gt; click on X icon of pop up.</t>
  </si>
  <si>
    <t>test_verifyCloseOptionOnEditScheduleName</t>
  </si>
  <si>
    <t>1.Launch JioSignage  Sign In Page : https://digitalsignage.jio.com/users/sign_in .
2.Login with valid credential.
3.Go to  schedule.
4.Click on number near to text show which is available on bottom left corner.</t>
  </si>
  <si>
    <t>test_verifyNumberOfScheduleEntries</t>
  </si>
  <si>
    <t>To verify right arrow (&gt;) on bottom right corner on schedule page.</t>
  </si>
  <si>
    <t>1.Launch JioSignage  Sign In Page : https://digitalsignage.jio.com/users/sign_in .
2.Login with valid credential.
3.Go to schedule.
4.Click on (&gt;) arrow on bottom right corner.</t>
  </si>
  <si>
    <t>test_verifyNextOptionOnSchedule</t>
  </si>
  <si>
    <t>To verify left arrow (&lt;) on bottom right corner on schedule page.</t>
  </si>
  <si>
    <t>1.Launch JioSignage  Sign In Page : https://digitalsignage.jio.com/users/sign_in .
2.Login with valid credential.
3.Go to schedule.
4.Click on (&lt;) arrow on bottom right corner.</t>
  </si>
  <si>
    <t>test_verifyPreviousOptionOnSchedule</t>
  </si>
  <si>
    <t>Verify copy function on Schedule page</t>
  </si>
  <si>
    <t>1.Launch JioSignage  Sign In Page : https://digitalsignage.jio.com/users/sign_in .
2.Login with valid credential.
3.Go to schedules &gt; Choose any existing schedule.
4.Click on Copy icon from action  &gt; Observe copy schedule pop up.
5.update the name of copied schedule &gt;click on add option &gt;observe.</t>
  </si>
  <si>
    <t>Observe that user should able to copy existing schedule.
If user try to save copied schedule with existing item name it should show error message like  as 'name already exist'</t>
  </si>
  <si>
    <t>test_verifyCopySchedule</t>
  </si>
  <si>
    <t>To verify folder name in schedule</t>
  </si>
  <si>
    <t>1.Launch JioSignage  Sign In Page : https://digitalsignage.jio.com/users/sign_in .
2.Login with valid credential.
3.Go to  schedule.
4.Observe the existing schedules.
5.Observe the folder tab of the respective schedule.</t>
  </si>
  <si>
    <t>Folder name should be show which folder this schedule belonging.
For schedule added in specific folder it should show its name ,
and for others it should show as root folder which is default.</t>
  </si>
  <si>
    <t>test_verifyFolderNameOfSchedule</t>
  </si>
  <si>
    <t>To verify start time and end time of schedule</t>
  </si>
  <si>
    <t>1.Launch JioSignage  Sign In Page : https://digitalsignage.jio.com/users/sign_in .
2.Login with valid credential.
3.Go to schedule&gt;Create Schedule &gt; drag and drop layout &gt;enter start time and end time
4.Come back to main page &gt; Observe the details &gt;start time and End time.</t>
  </si>
  <si>
    <t>Start time and End time value should correct as like created.</t>
  </si>
  <si>
    <t>test_verifyStartEndTimeOnSchedule</t>
  </si>
  <si>
    <t>To verify total item of schedule</t>
  </si>
  <si>
    <t>1.Launch JioSignage  Sign In Page : https://digitalsignage.jio.com/users/sign_in .
2.Login with valid credential.
3.Go to schedule.
4.Create Schedule &gt; add multiple layout schedule.
5.Come back to main page &gt; Observe the details &gt; count item.</t>
  </si>
  <si>
    <t>Item count value should correct as like created.</t>
  </si>
  <si>
    <t>test_verifyItemCount</t>
  </si>
  <si>
    <t>To verify modified at in schedule</t>
  </si>
  <si>
    <t>1.Launch JioSignage  Sign In Page : https://digitalsignage.jio.com/users/sign_in .
2.Login with valid credential.
3.Go to schedules&gt;Open  existing Schedule &gt; modifies something in schedule,
4.Come back to main page &gt; Observe the modified at .</t>
  </si>
  <si>
    <t>Last modified time and date should be appear.</t>
  </si>
  <si>
    <t>test_verifyModifiedAt</t>
  </si>
  <si>
    <t>To verify scroll up and down functionality in schedule main page.</t>
  </si>
  <si>
    <t>1.Launch JioSignage  Sign In Page : https://digitalsignage.jio.com/users/sign_in .
2.Login with valid credential.
3.Go to Schedule &gt;Observe the list of schedules.
4.scroll up and down across schedule list page.</t>
  </si>
  <si>
    <t>test_verifyScroll</t>
  </si>
  <si>
    <t>Pre Schedule</t>
  </si>
  <si>
    <t>1.Launch JioSignage  Sign In Page : https://digitalsignage.jio.com/users/sign_in .
2.Login with valid credential.
3.Create Blank schedule.
4.Assign on Monday to one playlist of 24 hrs. on above schedule.
5.Assign Tuesday and Wednesday separate/different layout  of 24 hrs. on schedule created on step3.
6.Assign and Deliver this schedule to any display
 &lt;refer ticket 370644&gt;</t>
  </si>
  <si>
    <t>Monday playlist , Tuesday and Wednesday  content should play the assigned item respectively.</t>
  </si>
  <si>
    <t>Expired Schedule highlighted in schedule page</t>
  </si>
  <si>
    <t>1.Launch JioSignage  Sign In Page : https://digitalsignage.jio.com/users/sign_in .
2.Login with valid credential.
3.Go to schedule &gt;Observe the existing schedules.
4.Now observe the details column like start date and end date and expired text is highlighting with bold text.</t>
  </si>
  <si>
    <t>Start and end date &amp; Expired text  should highlight in trigger page.</t>
  </si>
  <si>
    <t>Verify expiry  status of the schedule from schedule main page</t>
  </si>
  <si>
    <t xml:space="preserve">1.Launch JioSignage  Sign In Page : https://digitalsignage.jio.com/users/sign_in .
2.Login with valid credential.
3.Go to Schedules &gt; open the schedule &gt; Add layout  &gt; Set the expired start  and End time/date of the dropped layout &gt;save changes.
4.Go to schedules main page &gt;Observe the Schedule expiry status.
5.Now update  the added layout  time &amp; Date by set it for upcoming time &gt;observe the expiry status of schedule.
</t>
  </si>
  <si>
    <t>&gt;If layout is set for expired time/date -expiry status should be Observed with red cross mark icon.
&gt;If any of the layout is scheduled for upcoming time for future then expiry status should be observed with Green mark.
Note -layout or playlist expiry status not connected with schedule expiry ,both are different.
If user deliver schedule with expired layout/playlist it should not play on display.</t>
  </si>
  <si>
    <t>Expired Trigger is highlighted in Trigger page</t>
  </si>
  <si>
    <t>1.Launch JioSignage  Sign In Page : https://digitalsignage.jio.com/users/sign_in .
2.Login with valid credential.
3.Go to schedule.
4.Create schedule by clicking on "+" icon enter schedule name and save it.
5.Click on add trigger option &gt;click on add time trigger fill the details and select the layout or play list and click on add it.
6.Now observe the details column like start date and end date and expired text is highlighting with bold text.</t>
  </si>
  <si>
    <t>Expired trigger text should highlight it bold text format in trigger page.</t>
  </si>
  <si>
    <t xml:space="preserve">Verify expiry status of trigger </t>
  </si>
  <si>
    <t>1.Launch JioSignage  Sign In Page : https://digitalsignage.jio.com/users/sign_in .
2.Login with valid credential.
3.Go to Schedules &gt; Create Schedule &gt; click on add trigger &gt; add time trigger.
4.Enter trigger name &gt; select  &amp; add layout.
5.set expired time &amp; Date&gt; save the updates to add.
6.Observe the add trigger page with added trigger.
7.Observe the Expiry status of the trigger.
8.Now update  the trigger time &amp; Date by set it for upcoming time &gt;observe the expiry status on add trigger page.</t>
  </si>
  <si>
    <t xml:space="preserve">&gt;If trigger time is expired Trigger expiry status should be observed as red mark icon.
&gt;If trigger time is not expired Trigger expiry status should be observed as Green mark icon.
</t>
  </si>
  <si>
    <t>Replace</t>
  </si>
  <si>
    <t>Verify user is able to replace existing layout with layout in schedule and able to deliver using Deliver button available on the schedule page.</t>
  </si>
  <si>
    <t>1.Launch JioSignage  Sign In Page : https://digitalsignage.jio.com/users/sign_in .
2.Login with valid credential.
3.Go to schedule.
4.Create schedule by clicking on "+" icon enter schedule name and save it.
5.Navigate to layout panel&gt;drag and drop the layout in schedule page&gt;save&gt;Go out and come back -&gt;click on the layout&gt;click on replace&gt;select any layout which is not expired&gt;click on save it&gt;now click on delivery available in top &gt;click on deliver now and observe.</t>
  </si>
  <si>
    <t>Most recently replaced layout should deliver in display.</t>
  </si>
  <si>
    <t>Verify user is able to replace existing layout with Playlist in schedule and able to deliver using Deliver button available on the schedule page.</t>
  </si>
  <si>
    <t>1.Launch JioSignage  Sign In Page : https://digitalsignage.jio.com/users/sign_in .
2.Login with valid credential.
3.Go to schedule.
4.Create schedule by clicking on "+" icon enter schedule name and save it.
5.Navigate to layout panel&gt;drag and drop the layout in schedule page&gt;click on the layout&gt;click on replace&gt;now try to replace with playlist.</t>
  </si>
  <si>
    <t>User should able to replace the playlist and it should deliver the display.</t>
  </si>
  <si>
    <t>Verify user is able to replace existing Playlist with Playlist in schedule and able to deliver using Deliver button available on the schedule page.</t>
  </si>
  <si>
    <t>1.Launch JioSignage  Sign In Page : https://digitalsignage.jio.com/users/sign_in .
2.Login with valid credential.
3.Go to schedule.
4.Create schedule by clicking on "+" icon enter schedule name and save it.
5.Navigate to playlist  panel&gt;drag and drop the playlist in schedule page&gt;click on the playlist&gt;click on replace&gt;select any playlist which is not expired&gt;click on save it&gt;now click on delivery available in top &gt;click on deliver now and observe.</t>
  </si>
  <si>
    <t>Most recently replaced play list should deliver in display.</t>
  </si>
  <si>
    <t>Verify user is able to replace existing Playlist with layout in schedule and able to deliver using Deliver button available on the schedule page.</t>
  </si>
  <si>
    <t>1.Launch JioSignage  Sign In Page : https://digitalsignage.jio.com/users/sign_in .
2.Login with valid credential.
3.Go to schedule.
4.Create schedule by clicking on "+" icon enter schedule name and save it.
5.Navigate to play list panel&gt;drag and drop the playlist  in schedule page&gt;click on the play list&gt;click on replace&gt;now try to replace with layout.</t>
  </si>
  <si>
    <t>User should able to replace the layout and it should deliver the display.</t>
  </si>
  <si>
    <t>Verify that No of Trigger is displayed on schedule page</t>
  </si>
  <si>
    <t>1.Launch JioSignage  Sign In Page : https://digitalsignage.jio.com/users/sign_in .
2.Login with valid credential.
3.Go to schedule.
4.Create schedule by clicking on "+" icon enter schedule name and save it.
5.Click on add trigger option &gt;click on add time trigger fill the details and select the layout or play list and click on add it.
4.Repeat the 5th step 3 times&gt;click on schedule name&gt;check the trigger count.</t>
  </si>
  <si>
    <t>Created triggers count should reflect on trigger label in schedule page.</t>
  </si>
  <si>
    <t>Verify 2 layout having no expiry date are playing fine in schedule.</t>
  </si>
  <si>
    <t>1.Launch JioSignage  Sign In Page : https://digitalsignage.jio.com/users/sign_in .
2.Login with valid credential.
3.Go to Schedule.
4.Create a schedule with 2 layout without expiry date , with any choice of time but gap between layout should be 5 min in schedule to play on display.
5. Deliver to display on exact time like If Local laptop time is 10:00 AM , then schedule first layout time should be 10:00 AM or more</t>
  </si>
  <si>
    <t>Layout 1 should play, then no layout to play screen should appear for 5 min of gap  , and after that  , layout should play and after that again , no layout to display screen should appear.</t>
  </si>
  <si>
    <t>Verify 2 layout having expiry date are playing fine in schedule.</t>
  </si>
  <si>
    <t>1.Launch JioSignage  Sign In Page : https://digitalsignage.jio.com/users/sign_in .
2.Login with valid credential.
3.Go to schedule.
4.Create a schedule with 2 layout with  expiry date , with any choice of time but gap between layout should be 5 min in schedule to play on display.
5. Deliver to display on exact time like If Local laptop time is 10:00 AM , then schedule first layout time should be 10:00 AM or more</t>
  </si>
  <si>
    <t>Layout 1 should play, then no Layout to play screen should appear for 5 min of gap  , and after that  , Layout 2 should play and after that again , no Layout to display screen should appear</t>
  </si>
  <si>
    <t>Verify 3 layout are playing fine  while Layout 1= Expired, Layout 2 = is with expiry date, Layout 3 = is without expiry date are playing fine .</t>
  </si>
  <si>
    <t>1.Launch JioSignage  Sign In Page : https://digitalsignage.jio.com/users/sign_in .
2.Login with valid credential.
3.Go to Schedule.
4.Create a schedule with 3 layout : layout 1 should be expired layout , layout should have expiry date in it , layout 3 should not have any expiry date  , with any choice of time but gap between layout should be 5 min in schedule to play on display.
5. Deliver to display on exact time like If Local laptop time is 10:00 AM , then schedule first layout time should be 10:00 AM or more</t>
  </si>
  <si>
    <t>First layout which is expired layout should not play .
After that for gap of 5 min - No layout to display screen should appear.
After that second layout should play.
Again after that "No layout to display" screen should appear.
Again after 5 min of gap , 3rd layout should play .
again after that "No layout is available to play" screen should appear.</t>
  </si>
  <si>
    <t>Verify 2 playlist without expiry are playing fine  in schedule</t>
  </si>
  <si>
    <t>1.Launch JioSignage  Sign In Page : https://digitalsignage.jio.com/users/sign_in .
2.Login with valid credential.
3.Go to schedule.
2.Create a schedule with 2 playlist  without expiry date , with any choice of time but gap between layout should be 5 min in schedule to play on display.
4. Deliver to display on exact time like If Local laptop time is 10:00 AM , then schedule first layout time should be 10:00 AM or more</t>
  </si>
  <si>
    <t>Playlist 1 should play, then no layout to play screen should appear for 5 min of gap  , and after that  , Playlist  2 should play and after that again , no layout to display screen should appear.</t>
  </si>
  <si>
    <t>Verify 2 playlist with expiry are playing fine  in schedule</t>
  </si>
  <si>
    <t>1.Launch JioSignage  Sign In Page : https://digitalsignage.jio.com/users/sign_in .
2.Login with valid credential.
3.Go to schedule.
4.Create a schedule with 2 playlist  with expiry date , with any choice of time but gap between layout should be 5 min in schedule to play on display.
5.Deliver to display on exact time like If Local laptop time is 10:00 AM , then schedule first layout time should be 10:00 AM or more</t>
  </si>
  <si>
    <t xml:space="preserve">Verify 3 playlists are playing fine with different type of expiry state if played in sequence :Playlis 1 =  Expired  , Playlist 2 = is with expiry date and Playlist 3 = is without expiry date ] </t>
  </si>
  <si>
    <t xml:space="preserve">1.Launch JioSignage  Sign In Page : https://digitalsignage.jio.com/users/sign_in .
2.Login with valid credential.
3.Go to  schedule.
4.Create a schedule with 3 playlist : playlist 1 should be expired playlist , playlist 2 should have expiry date in it , playlist  3 should not have any expiry date  , with any choice of time but gap between adjecent 2 playlist should be 5 min in schedule.
5. Deliver to display but on exact time like If Local laptop time is 10:00 AM , then schedule first layout time in first playlist should be 10:00 AM or more , </t>
  </si>
  <si>
    <t>First  which is expired layout should not play .
After that for gap of 5 min - No layout to display screen should appear.
After that second layout should play.
Again after that "No layout to display" screen should appear.
Again after 5 min of gap , 3rd layout should play .
again after that "No layout is available to play" screen should appear.</t>
  </si>
  <si>
    <t xml:space="preserve">To verify Playlist  search functionality in schedule screen. </t>
  </si>
  <si>
    <t>1.Launch JioSignage  Sign In Page : https://digitalsignage.jio.com/users/sign_in .
2.Login with valid credential.
3.Go to schedule &gt; open existing schedule.
4.Click Playlist -&gt;Search bar &gt; enter playlist name &gt; select.
OR 
Click on playlist option &gt; observe.</t>
  </si>
  <si>
    <t>Searched playlist should appear 
OR 
by click on playlist  it should show the existing layout and respective folders of it.</t>
  </si>
  <si>
    <t>User Activity logs</t>
  </si>
  <si>
    <t xml:space="preserve">Verify Schedule logs </t>
  </si>
  <si>
    <t>1.Launch JioSignage  Sign In Page : https://digitalsignage.jio.com/users/sign_in .
2.Login with valid credential.
3.Go to Schedules.
4.Update any existing schedule name.
5.Add or remove any layout from it.
6.Go to schedule main page.
7.Select the schedule which recently updated &gt;Click on Logs icon from action button.
8.Observe the logs activity status.</t>
  </si>
  <si>
    <t xml:space="preserve">&gt; Schedule log page should open &amp; have User , User activity &amp; Time Stamp column in it.
&gt; Recently updated schedule's schedule logs should capture user activity done on the schedule with correct
User , User activity and time stamp details.
</t>
  </si>
  <si>
    <t>Create duplicate schedule with same name</t>
  </si>
  <si>
    <t>1.Launch JioSignage  Sign In Page : https://digitalsignage.jio.com/users/sign_in .
2.Login with valid credential.
3.Click content &gt; material&gt; upload raw material.
4.Click Content &gt; create content with approval.
5..Click schedule &gt; Click Edit icon.
8.Enter name like " sample"&gt; click Save.
9. Again create a schedule with same name and clikc on save button</t>
  </si>
  <si>
    <t>Error message " Name already exist" should appear and should not allow to create schedule with same name.</t>
  </si>
  <si>
    <t>test_DuplicateSchedule</t>
  </si>
  <si>
    <t>Edit Display</t>
  </si>
  <si>
    <t>Edit State</t>
  </si>
  <si>
    <t xml:space="preserve">Verify user is able to change State name and save it </t>
  </si>
  <si>
    <t>1.Launch JioSignage  Sign In Page : https://digitalsignage.jio.com/users/sign_in .
2.Login with valid credential.
3.Click content &gt; material&gt; upload raw material.
4.Click Content &gt; create content with approval.
5. Click Schedule &gt; add schedule
6. Click Content &gt; Display
7. Click on Edit icon under action column
8. Change State and save</t>
  </si>
  <si>
    <t>User should be able to change State name and save it</t>
  </si>
  <si>
    <t>test_EditDisplayPage_ChangeStateName</t>
  </si>
  <si>
    <t>Edit City</t>
  </si>
  <si>
    <t xml:space="preserve">Verify user is able to change city name and save it </t>
  </si>
  <si>
    <t>1.Launch JioSignage  Sign In Page : https://digitalsignage.jio.com/users/sign_in .
2.Login with valid credential.
3.Click content &gt; material&gt; upload raw material.
4.Click Content &gt; create content with approval.
5. Click Schedule &gt; add schedule
6. Click Content &gt; Display
7. Click on Edit icon under action column
8. Change City and save</t>
  </si>
  <si>
    <t>User should be able to change City  name and save it</t>
  </si>
  <si>
    <t>test_EditDisplayPage_ChangeCityName</t>
  </si>
  <si>
    <t>Edit Store address</t>
  </si>
  <si>
    <t xml:space="preserve">Verify user is able to change Store address and save it </t>
  </si>
  <si>
    <t>1.Launch JioSignage  Sign In Page : https://digitalsignage.jio.com/users/sign_in .
2.Login with valid credential.
3.Click content &gt; material&gt; upload raw material.
4.Click Content &gt; create content with approval.
5. Click Schedule &gt; add schedule
6. Click Content &gt; Display
7. Click on Edit icon under action column
8. Change store address and save</t>
  </si>
  <si>
    <t>User should be able to change Store address and save it</t>
  </si>
  <si>
    <t>test_EditDisplayPage_ChangeStoreAddress</t>
  </si>
  <si>
    <t>Edit Mobile number</t>
  </si>
  <si>
    <t xml:space="preserve">Verify user is able to change Mobile number and save it </t>
  </si>
  <si>
    <t>1.Launch JioSignage  Sign In Page : https://digitalsignage.jio.com/users/sign_in .
2.Login with valid credential.
3.Click content &gt; material&gt; upload raw material.
4.Click Content &gt; create content with approval.
5. Click Schedule &gt; add schedule
6. Click Content &gt; Display
7. Click on Edit icon under action column
8. Change Mobile number  and save</t>
  </si>
  <si>
    <t>User should be able to change Mobile number and save it</t>
  </si>
  <si>
    <t>test_EditDisplayPage_ChangeMobileNumber</t>
  </si>
  <si>
    <t>Close</t>
  </si>
  <si>
    <t>Verify that user is able to close edit Display OSD</t>
  </si>
  <si>
    <t>1.Launch JioSignage  Sign In Page : https://digitalsignage.jio.com/users/sign_in .
2.Login with valid credential.
3.Click content &gt; material&gt; upload raw material.
4.Click Content &gt; create content with approval.
5. Click Schedule &gt; add schedule
6. Click Content &gt; Display
7. Click on Edit icon under action column
8. Click on Cancel button/ Close button or press Esc Key</t>
  </si>
  <si>
    <t>User should be able to close edit Display OSD</t>
  </si>
  <si>
    <t>test_EditDisplayPage_closeBtn</t>
  </si>
  <si>
    <t>Edit Pincode</t>
  </si>
  <si>
    <t xml:space="preserve">Verify user is able to change Pincode and save it </t>
  </si>
  <si>
    <t>1.Launch JioSignage  Sign In Page : https://digitalsignage.jio.com/users/sign_in .
2.Login with valid credential.
3.Click content &gt; material&gt; upload raw material.
4.Click Content &gt; create content with approval.
5. Click Schedule &gt; add schedule
6. Click Content &gt; Display
7. Click on Edit icon under action column
8. Change Pincode and save</t>
  </si>
  <si>
    <t>User should be able to change Pincode and save it</t>
  </si>
  <si>
    <t>test_EditDisplayPage_ChangePincodeName</t>
  </si>
  <si>
    <t>Edit District</t>
  </si>
  <si>
    <t xml:space="preserve">Verify user is able to change District name and save it </t>
  </si>
  <si>
    <t>1.Launch JioSignage  Sign In Page : https://digitalsignage.jio.com/users/sign_in .
2.Login with valid credential.
3.Click content &gt; material&gt; upload raw material.
4.Click Content &gt; create content with approval.
5. Click Schedule &gt; add schedule
6. Click Content &gt; Display
7. Click on Edit icon under action column
8. Change District and save</t>
  </si>
  <si>
    <t>User should be able to change District name and save it</t>
  </si>
  <si>
    <t>test_EditDisplayPage_ChangeDistrictName</t>
  </si>
  <si>
    <t>Edit Sync role</t>
  </si>
  <si>
    <t xml:space="preserve">Verify user is able to change Sync role and save it </t>
  </si>
  <si>
    <t>1.Launch JioSignage  Sign In Page : https://digitalsignage.jio.com/users/sign_in .
2.Login with valid credential.
3.Click content &gt; material&gt; upload raw material.
4.Click Content &gt; create content with approval.
5. Click Schedule &gt; add schedule
6. Click Content &gt; Display
7. Click on Edit icon under action column
8. Change sync role  and save</t>
  </si>
  <si>
    <t>User should be able to change Sync role  and save it</t>
  </si>
  <si>
    <t>test_EditDisplayPage_ChangeSyncRole</t>
  </si>
  <si>
    <t xml:space="preserve">Verify Preview </t>
  </si>
  <si>
    <t>To verify preview functionality on edit schedule details page.</t>
  </si>
  <si>
    <t>1.Launch JioSignage  Sign In Page : https://digitalsignage.jio.com/users/sign_in .
2.Login with valid credential.
3.Click content management-&gt; schedule &gt; click on any existing non empty schedule
4.Click on content available inside schedule
5.Click on Preview button</t>
  </si>
  <si>
    <t>User should able to see preview of the content</t>
  </si>
  <si>
    <t>test_previewOption</t>
  </si>
  <si>
    <t>Verify "Replace" feature in Schedule</t>
  </si>
  <si>
    <t>1.Launch JioSignage  Sign In Page : https://digitalsignage.jio.com/users/sign_in .
2.Login with valid credential.
3.Go to Content Management - &gt; Schedule -&gt; Open any existing schedule.
4. Click on content
5. Click on replace button on Edit schedule details .
6. Select different content.
7. Save</t>
  </si>
  <si>
    <t>User should be able to replace content using replace feature in schedule</t>
  </si>
  <si>
    <t>test_replaceOption</t>
  </si>
  <si>
    <t>Add new Display</t>
  </si>
  <si>
    <t>Add</t>
  </si>
  <si>
    <t>Verify add new display functionality</t>
  </si>
  <si>
    <t>1.Launch JioSignage  Sign In Page : https://digitalsignage.jio.com/users/sign_in .
2.Login with valid credential.
3. Click Content Management &gt; Display
4. Click on Add new Display
5. Observe</t>
  </si>
  <si>
    <t>Add new display pop up with following fields should be available:-
1. Display name
2. New Password
3. Password confirmation
4. State
5. City
6. District
7. Pin code
8. Store address
9. Sync role
10. Mobile number</t>
  </si>
  <si>
    <t>test_AddNewDisplayPopup_isVisible</t>
  </si>
  <si>
    <t>Verify that user is able to close add new Display On screen Display</t>
  </si>
  <si>
    <t>1.Launch JioSignage  Sign In Page : https://digitalsignage.jio.com/users/sign_in .
2.Login with valid credential.
3. Click Content Management &gt; Display
4. Click on Add new Display
5. Press Esc Key / Click on Cancel button / Click on X button</t>
  </si>
  <si>
    <t>Add new Display OSD should close</t>
  </si>
  <si>
    <t>test_AddNewDisplayPopup_CancelBtn</t>
  </si>
  <si>
    <t>Show password</t>
  </si>
  <si>
    <t>Verify show Password</t>
  </si>
  <si>
    <t>1.Launch JioSignage  Sign In Page : https://digitalsignage.jio.com/users/sign_in .
2.Login with valid credential.
3. Click Content Management &gt; Display
4. Click on Add new Display
5. Enter password
6. Click on Show password
7. Observe</t>
  </si>
  <si>
    <t>Password should be visible to the user on clicking on show password</t>
  </si>
  <si>
    <t>test_ShowPasswordOption</t>
  </si>
  <si>
    <t>Dropdown</t>
  </si>
  <si>
    <t>Verify whether user can select state and cities from dropdown</t>
  </si>
  <si>
    <t>1.Launch JioSignage  Sign In Page : https://digitalsignage.jio.com/users/sign_in .
2.Login with valid credential.
3. Click Content Management &gt; Display
4. Click on Add new Display
5. Select state and cities  from drop down
6. Observe</t>
  </si>
  <si>
    <t>1. User should be able to select states and cities from dropdown
2. Selected state and City should be reflected</t>
  </si>
  <si>
    <t>test_selectState_selectCity</t>
  </si>
  <si>
    <t>password</t>
  </si>
  <si>
    <t>Verify proper message is displayed if user enters a different password in password confirmation box</t>
  </si>
  <si>
    <t>1.Launch JioSignage  Sign In Page : https://digitalsignage.jio.com/users/sign_in .
2.Login with valid credential.
3. Click Content Management &gt; Display
4. Click on Add new Display &gt; Enter display Name
5. Enter password
6. Enter different password on password confirmation box
7. Click on Add</t>
  </si>
  <si>
    <t>Doesn't match confirmation message should be displayed</t>
  </si>
  <si>
    <t>test_WarnMsg_MismatchPassword</t>
  </si>
  <si>
    <t>Verify proper message is displayed if user enters less than 6 characters</t>
  </si>
  <si>
    <t>1.Launch JioSignage  Sign In Page : https://digitalsignage.jio.com/users/sign_in .
2.Login with valid credential.
3. Click Content Management &gt; Display
4. Click on Add new Display 
5. Enter password having less than 6 characters
6. click on Add</t>
  </si>
  <si>
    <t>1. Password should not accept less than 6 characters
2.Required minimum 6 characters message should be displayed</t>
  </si>
  <si>
    <t>test_WarnMsg_PasswordMin6Character</t>
  </si>
  <si>
    <t>Enter district name</t>
  </si>
  <si>
    <t>Verify proper message is displayed if user enters numbers as district name</t>
  </si>
  <si>
    <t>1.Launch JioSignage  Sign In Page : https://digitalsignage.jio.com/users/sign_in .
2.Login with valid credential.
3. Click Content Management &gt; Display
4. Click on Add new Display
5. Enter number as District name
6. Observe</t>
  </si>
  <si>
    <t>1. District name should not accept numbers
2. Only letters are allowed message should be displayed</t>
  </si>
  <si>
    <t>test_WarnMsg_District_Numbers</t>
  </si>
  <si>
    <t>Add New Tag</t>
  </si>
  <si>
    <t>Verify able to close add tag OSD</t>
  </si>
  <si>
    <t>1.Launch JioSignage  Sign In Page : https://digitalsignage.jio.com/users/sign_in .
2.Login with valid credential.
3. Click Content Management &gt; Display
4. Create a Display
5. Using Checkbox select the display
6. Click on Actions &gt; Click on Add Tag
7. On the Add Tag OSD press Esc Key / X button
8. Observe</t>
  </si>
  <si>
    <t>User should be able to close add Tag OSD</t>
  </si>
  <si>
    <t>test_AddTagPopup_CancelBtn</t>
  </si>
  <si>
    <t>Remove Tag</t>
  </si>
  <si>
    <t>Verify that user is able to close remove Tag OSD</t>
  </si>
  <si>
    <t>1.Launch JioSignage  Sign In Page : https://digitalsignage.jio.com/users/sign_in .
2.Login with valid credential.
3. Click Content Management &gt; Display
4. Create a Display
5. Using Checkbox select the display
6. Click on Actions &gt; Click on Remove Tag
7. Press Esc Key / Click on X button
8. Observe</t>
  </si>
  <si>
    <t>User should be able to close remove Tag OSD</t>
  </si>
  <si>
    <t>test_RemoveTagPopup_CancelBtn</t>
  </si>
  <si>
    <t>Verify that user is able to close delete completely OSD</t>
  </si>
  <si>
    <t xml:space="preserve">1.Launch JioSignage  Sign In Page : https://digitalsignage.jio.com/users/sign_in .
2.Login with valid credential.
3. Click Content Management &gt; Display
4. Create a Display
5. Using Checkbox select the display
6. Click on three dots &gt; Click on Delete Completely
7 On Delete Completely OSD click on Cancel button/ press Esc Key/ Click on X button </t>
  </si>
  <si>
    <t>User should be able to close delete completely OSD</t>
  </si>
  <si>
    <t>test_DeleteCompletelyPopup_CancelBtn</t>
  </si>
  <si>
    <t>Add Folder Functionality</t>
  </si>
  <si>
    <t>Folders</t>
  </si>
  <si>
    <t>Verify create New folder in Displays &gt; Root page</t>
  </si>
  <si>
    <t>1.Launch JioSignage  Sign In Page : https://digitalsignage.jio.com/users/sign_in .
2.Login with valid credential.
3. Click Content Management &gt; Display
4. Click on Add Folder icon
5. Observe</t>
  </si>
  <si>
    <t>test_CreateFolderScreen</t>
  </si>
  <si>
    <t>Name Field</t>
  </si>
  <si>
    <t>1.Launch JioSignage  Sign In Page : https://digitalsignage.jio.com/users/sign_in .
2.Login with valid credential.
3. Click Content Management &gt; Display
4. Click on Add Folder icon
5. Enter all characters
6. Click on add</t>
  </si>
  <si>
    <t>User should able to Enter all supported characters.(Only letters, numbers and _ are allowed.)</t>
  </si>
  <si>
    <t>test_CreateFolder_EnterAllCharacter</t>
  </si>
  <si>
    <t>1.Launch JioSignage  Sign In Page : https://digitalsignage.jio.com/users/sign_in .
2.Login with valid credential.
3. Click Content Management &gt; Display
4. Click on Add Folder icon
5. Enter special characters
6. Click on add</t>
  </si>
  <si>
    <t xml:space="preserve">
1. Only letters, numbers and _are allowed pop up appear.
2. User should not be allowed to enter special characters</t>
  </si>
  <si>
    <t>test_CreateFolder_WarnMsg_SpecialCharacter</t>
  </si>
  <si>
    <t>Create  New Folder Functionality</t>
  </si>
  <si>
    <t>Cancel</t>
  </si>
  <si>
    <t>1.Launch JioSignage  Sign In Page : https://digitalsignage.jio.com/users/sign_in .
2.Login with valid credential.
3. Click Content Management &gt; Display
4. Click on Add Folder icon
5. Enter name
6. Click on cancel</t>
  </si>
  <si>
    <t>test_CreateFolderScreen_CancelBtn</t>
  </si>
  <si>
    <t>1.Launch JioSignage  Sign In Page : https://digitalsignage.jio.com/users/sign_in .
2.Login with valid credential.
3. Click Content Management &gt; Display
4. Click on Add Folder icon
5. Click on X</t>
  </si>
  <si>
    <t>User should  be able to close the create folder OSD</t>
  </si>
  <si>
    <t>test_CreateFolderScreen_X_Btn</t>
  </si>
  <si>
    <t>Head Folder</t>
  </si>
  <si>
    <t>Header</t>
  </si>
  <si>
    <t>1.Launch JioSignage  Sign In Page : https://digitalsignage.jio.com/users/sign_in .
2.Login with valid credential.
3. Click Content Management &gt; Display
4. Click on Head Folder
5. Observe</t>
  </si>
  <si>
    <t>User should able to see the existing display list present in Head folder.</t>
  </si>
  <si>
    <t>test_HeadFolderBtn</t>
  </si>
  <si>
    <t>1.Launch JioSignage  Sign In Page : https://digitalsignage.jio.com/users/sign_in .
2.Login with valid credential.
3. Click Content Management &gt; Display
4. From Folder dropdown select a folder
5. Observe</t>
  </si>
  <si>
    <t>1.User should be able to select Folders from Folder dropdown
2. Display List present in the folder should open</t>
  </si>
  <si>
    <t>1.Launch JioSignage  Sign In Page : https://digitalsignage.jio.com/users/sign_in .
2.Login with valid credential.
3. Click Content Management &gt; Display
4. From Folder dropdown click on Search box
5. Search for a folder
6. Observe</t>
  </si>
  <si>
    <t>1.User should be able to search for any folder
2. Searched folder should be highlighted</t>
  </si>
  <si>
    <t>test_selectFolderFromDropdown_BySearchBar</t>
  </si>
  <si>
    <t>Deliver Instantly</t>
  </si>
  <si>
    <t xml:space="preserve">Deliver </t>
  </si>
  <si>
    <t>Verify Deliver Instantly Functionality</t>
  </si>
  <si>
    <t>Pre-Requisite:-
1. There should be existing Display.
Steps:-
1.Launch JioSignage  Sign In Page : https://digitalsignage.jio.com/users/sign_in .
2.Login with valid credential.
3. Click Content Management &gt; Display
4. Click on Deliver Instantly icon
5. Observe</t>
  </si>
  <si>
    <t>1. Deliver Instantly OSD should be displayed with Display, Folder,  Base and Tag Radio button</t>
  </si>
  <si>
    <t>test_DeliverInstantlyPage_RadioBTNs</t>
  </si>
  <si>
    <t>Verify user is able to search display from Deliver OSD</t>
  </si>
  <si>
    <t>Pre-requisite:-
1. There should be existing Display.
Steps:-
1.Launch JioSignage  Sign In Page : https://digitalsignage.jio.com/users/sign_in .
2.Login with valid credential.
3. Click Content Management &gt; Display
4. Click on Deliver Instantly icon
5. Click on Display Radio Button
6. Search for a display
7. Observe</t>
  </si>
  <si>
    <t>User should be able to search for a display from Deliver OSD</t>
  </si>
  <si>
    <t>test_DeliverInstantlyPage_SearchBar</t>
  </si>
  <si>
    <t>Checkbox</t>
  </si>
  <si>
    <t>Verify user is able to select a display using checkbox from Deliver OSD</t>
  </si>
  <si>
    <t>Pre-requisite -
1. There should be existing Display.
Steps:-
1.Launch JioSignage  Sign In Page : https://digitalsignage.jio.com/users/sign_in .
2.Login with valid credential.
3. Click Content Management &gt; Display
4 Click on Deliver Instantly icon
5. Click on Display Radio Button
6. Search for a display
7. Try to select a display using checkbox
8. Observe</t>
  </si>
  <si>
    <t>User should be able to select a display using Checkbox from Deliver OSD</t>
  </si>
  <si>
    <t>test_DeliverInstantlyPage_CheckBox</t>
  </si>
  <si>
    <t>Verify user is able to select Multiple Displays using Checkbox from Deliver OSD</t>
  </si>
  <si>
    <t>Pre-Requisite:-
1. There should be existing multiple displays
Steps:-
1.Launch JioSignage  Sign In Page : https://digitalsignage.jio.com/users/sign_in .
2.Login with valid credential.
3. Click Content Management &gt; Display
4. Click on Deliver Instantly icon
5. Click on Display Radio Button
6.Click on Search Display Textbox
7. Try to select multiple displays using checkbox
8. Observe</t>
  </si>
  <si>
    <t>User should be able to select multiple displays using check box from Deliver OSD</t>
  </si>
  <si>
    <t>test_DeliverInstantlyPage_MultipleCheckBoxes</t>
  </si>
  <si>
    <t>Verify user is able to search Folder from Deliver OSD</t>
  </si>
  <si>
    <t>Pre-Requisite:-
1. There should be existing Display
2. There should be existing folder
Steps:-
1.Launch JioSignage  Sign In Page : https://digitalsignage.jio.com/users/sign_in .
2.Login with valid credential.
3. Click Content Management &gt; Display
4. Click on Deliver Instantly icon
5. Click on Folder Radio Button
6. Search for a folder
7. Observe</t>
  </si>
  <si>
    <t>User should be able to search for a Folder from Deliver OSD</t>
  </si>
  <si>
    <t>test_DeliverInstantlyPage_Folder_SearchBar</t>
  </si>
  <si>
    <t>Verify user is able to select a Folder using checkbox</t>
  </si>
  <si>
    <t>Pre-Requisite:-
1. There should be existing Display
2. There should be existing folder
Steps:-
1.Launch JioSignage  Sign In Page : https://digitalsignage.jio.com/users/sign_in .
2.Login with valid credential.
3. Click Content Management &gt; Display
4. Click on Deliver Instantly icon
5. Click on Folder Radio Button
6. Search for a Folder
7. Try to select a Folder using checkbox
8. Observe</t>
  </si>
  <si>
    <t>User should be able to select a  Folder using Checkbox</t>
  </si>
  <si>
    <t>test_DeliverInstantlyPage_Folder_CheckBox</t>
  </si>
  <si>
    <t>Verify user is able to select Multiple Folders using Checkbox</t>
  </si>
  <si>
    <t>Pre-Requisite:-
1. There should be existing Display
2. There should be existing folders.
Steps:-
1.Launch JioSignage  Sign In Page : https://digitalsignage.jio.com/users/sign_in .
2.Login with valid credential.
3. Click Content Management &gt; Display
4. Click on Deliver Instantly icon
4. Click on Folder Radio Button
5. Click on Search Folder Text box
6. Try to select multiple Folders using checkbox
7. Observe</t>
  </si>
  <si>
    <t>User should be able to select multiple Folders using check box</t>
  </si>
  <si>
    <t>test_DeliverInstantlyPage_Folder_MultipleCheckBoxes</t>
  </si>
  <si>
    <t>Verify user is able to search Base</t>
  </si>
  <si>
    <t>Pre-Requisite:-
1. There should be existing Display
2. There should be existing base
Steps:-
1.Launch JioSignage  Sign In Page : https://digitalsignage.jio.com/users/sign_in .
2.Login with valid credential.
3. Click Content Management &gt; Display
4. Click on Deliver Instantly icon
5. Click on Base Radio Button
6 Search for a Base
7. Observe</t>
  </si>
  <si>
    <t xml:space="preserve">User should be able to search for a Base </t>
  </si>
  <si>
    <t>test_DeliverInstantlyPage_Base_SearchBar</t>
  </si>
  <si>
    <t>Verify user is able to select a Base using checkbox</t>
  </si>
  <si>
    <t>Pre-Requisite:-
1. There should be existing Display
2. There should be existing base
Steps:
1.Launch JioSignage  Sign In Page : https://digitalsignage.jio.com/users/sign_in .
2.Login with valid credential.
3. Click Content Management &gt; Display
4. Click on Deliver Instantly icon
5. Click on Base Radio Button
6. Search for a base
7. Try to select a Base using checkbox
8. Observe</t>
  </si>
  <si>
    <t>User should be able to select a  Base using Checkbox</t>
  </si>
  <si>
    <t>test_DeliverInstantlyPage_Base_CheckBox</t>
  </si>
  <si>
    <t>Verify user is able to select Multiple Bases using Checkbox</t>
  </si>
  <si>
    <t>Pre-Requisite :-
1. There should be existing Display
2. There should be multiple base
Steps:-
1.Launch JioSignage  Sign In Page : https://digitalsignage.jio.com/users/sign_in .
2.Login with valid credential.
3. Click Content Management &gt; Display
4. Click on Deliver Instantly icon
5. Click on Base Radio Button
6. Click on search for a base textbox
7. Try to select multiple Bases using checkbox
8. Observe</t>
  </si>
  <si>
    <t>User should be able to select multiple Bases using check box</t>
  </si>
  <si>
    <t>test_DeliverInstantlyPage_Base_MultipleCheckBoxes</t>
  </si>
  <si>
    <t>Verify user is able to search Tag</t>
  </si>
  <si>
    <t>Pre-Requisite:-
1. Existing display should be available
2. Tags should be assigned to displays
Steps:-
1.Launch JioSignage  Sign In Page : https://digitalsignage.jio.com/users/sign_in .
2.Login with valid credential.
3. Click Content Management &gt; Display
4. Click on Deliver Instantly icon
5. Click on Tag Radio Button
6. Search for a Tag
7 Observe</t>
  </si>
  <si>
    <t>User should be able to search for a Tag</t>
  </si>
  <si>
    <t>test_DeliverInstantlyPage_Tag_SearchBar</t>
  </si>
  <si>
    <t>Verify user is able to select a Tag using checkbox</t>
  </si>
  <si>
    <t>Pre-Requisite:-
1. Existing display should be available
2. Tags should be assigned to displays
Steps:-
1.Launch JioSignage  Sign In Page : https://digitalsignage.jio.com/users/sign_in .
2.Login with valid credential.
3.Click Content Management &gt; material&gt; upload raw material.
4.Click Content Management &gt; create content with approval.
5. Click Schedule &gt; add schedule
6. Click Content Management &gt; Display
7. Create a display
8. Click on Deliver Instantly icon
9. Click on Tag Radio Button
10. Search for a Tag
11. Try to select a Tag using checkbox
12. Observe</t>
  </si>
  <si>
    <t>User should be able to select a  Tag using Checkbox</t>
  </si>
  <si>
    <t>test_DeliverInstantlyPage_Tag_CheckBox</t>
  </si>
  <si>
    <t>Verify user is able to select Multiple Tags using Checkbox</t>
  </si>
  <si>
    <t>Pre-Requisite:-
1. Existing display should be available
2. Tags should be assigned to displays
Steps:-
1.Launch JioSignage  Sign In Page : https://digitalsignage.jio.com/users/sign_in .
2.Login with valid credential.
3.Click Content Management &gt; Display
4. Click on Deliver Instantly icon
5. Click on Tag Radio Button
6. Click on Search for tag Textbox
7. Try to select multiple Tags using checkbox
8. Observe</t>
  </si>
  <si>
    <t>User should be able to select multiple Tags using check box</t>
  </si>
  <si>
    <t>test_DeliverInstantlyPage_Tag_MultipleCheckBoxes</t>
  </si>
  <si>
    <t>Remove Items</t>
  </si>
  <si>
    <t>Verify that user is able to remove selected Items</t>
  </si>
  <si>
    <t>Pre-Requisite:-
1. Existing display should be available
Steps:-
1.Launch JioSignage  Sign In Page : https://digitalsignage.jio.com/users/sign_in .
2.Login with valid credential.
3. Click Content Management &gt; Display
4. Select multiple display using Checkbox
5. Click on Deliver Instantly Icon
6. Click on X which is to the right hand side of display Name
7. Observe</t>
  </si>
  <si>
    <t>Displays  selected should be removed</t>
  </si>
  <si>
    <t>test_X_ICON_SELECTED_DISPLAY</t>
  </si>
  <si>
    <t>Verify that user is able to close Deliver OSD</t>
  </si>
  <si>
    <t>1.Launch JioSignage  Sign In Page : https://digitalsignage.jio.com/users/sign_in .
2.Login with valid credential.
3. Click Content Management &gt; Display
4. Click on Deliver Instantly icon
5. Press Esc Key or X button
6. Observe</t>
  </si>
  <si>
    <t>User should be able to close Deliver OSD</t>
  </si>
  <si>
    <t>test_DeliverInstantlyPage_X_ICON</t>
  </si>
  <si>
    <t>Display Details</t>
  </si>
  <si>
    <t>Verify that user can view  display information of a particular display</t>
  </si>
  <si>
    <t>Pre-Requisite:-
Existing display should be available
Steps:-
1.Launch JioSignage  Sign In Page : https://digitalsignage.jio.com/users/sign_in .
2.Login with valid credential.
3. Click Content Management &gt; Display
4. Click on Display Name of existing Display
5. Observe</t>
  </si>
  <si>
    <t>User should be able to see the display information of the display</t>
  </si>
  <si>
    <t>test_DisplayDetailsPage</t>
  </si>
  <si>
    <t>Edit</t>
  </si>
  <si>
    <t>Verify that user is able to edit schedule by clicking on  Schedule</t>
  </si>
  <si>
    <t>1.Launch JioSignage  Sign In Page : https://digitalsignage.jio.com/users/sign_in .
2.Click Content Management &gt; Display
3. Click on Schedule name in schedule column
4. Edit the Schedule
5 Observe</t>
  </si>
  <si>
    <t>User should be able to edit schedule</t>
  </si>
  <si>
    <t>test_UpdateSchedule</t>
  </si>
  <si>
    <t>Move display</t>
  </si>
  <si>
    <t xml:space="preserve">Verify move Display Functionality </t>
  </si>
  <si>
    <t>Pre-Requisite:-
1. Existing display should exist
2. Existing folder should exist
Steps:-
1.Launch JioSignage  Sign In Page : https://digitalsignage.jio.com/users/sign_in .
2.Login with valid credential.
3. Click Content Management &gt; Display
4. Select a display using checkbox
5. Click on actions (3 dots)
6. Click on Move Display
7. Select a folder
8. Click on Move</t>
  </si>
  <si>
    <t>1.User should be able to move display to a selected folder
2. Display moved inside folder successfully notification should be observed</t>
  </si>
  <si>
    <t>test_movedisplay</t>
  </si>
  <si>
    <t>Move Display</t>
  </si>
  <si>
    <t>Verify that user is able to close Move Display OSD</t>
  </si>
  <si>
    <t>Pre-Requisite:
1. Existing display should be available
Steps:-
1.Launch JioSignage  Sign In Page : https://digitalsignage.jio.com/users/sign_in .
2.Login with valid credential.
3.Click Content Management &gt; Display
4. Select a display
5. Click on More actions
6. Click on Move Display
7 . Click on Close button or esc key</t>
  </si>
  <si>
    <t>1. User should be able to close the OSD</t>
  </si>
  <si>
    <t>test_MoveToDisplay_closeBtn</t>
  </si>
  <si>
    <t>Pre-Requisite:-
1. Existing display should be available.
Steps:-
1.Launch JioSignage  Sign In Page : https://digitalsignage.jio.com/users/sign_in .
2.Login with valid credential.
3. Click Content Management &gt; Display
4. Click on Edit icon under action column
5. Click on Cancel button/ Close button or press Esc Key</t>
  </si>
  <si>
    <t xml:space="preserve">Verify user is able to edit all the details available in Edit Display Page and save it </t>
  </si>
  <si>
    <t>Pre-requiste:-
1. Existing display should be available
Steps:-
1.Launch JioSignage  Sign In Page : https://digitalsignage.jio.com/users/sign_in .
2.Login with valid credential.
3. Click Content Management &gt; Display
4. Click on Edit icon under action column
5. Edit all the details ( Display name, Mobile number, State, Pin code, City, District, Latitude, Longitude, Store address, Mifi Serial Number ) and click on save</t>
  </si>
  <si>
    <t>User should be able to edit all the details and save it</t>
  </si>
  <si>
    <t>test_EditDisplayPage_ChangeDisplayName</t>
  </si>
  <si>
    <t>Migrate</t>
  </si>
  <si>
    <t>Verify that user is able to Migrate Display</t>
  </si>
  <si>
    <t>Pre-Requisite:-
1. Existing display should be available
2. Existing base account should be available
Steps:
1.Launch JioSignage  Sign In Page : https://digitalsignage.jio.com/users/sign_in .
2.Login with valid credential.
3. Click Content Management &gt; Display
4. Click on Migrate Display
5. Select Base Account
6. Click on Migrate</t>
  </si>
  <si>
    <t>1. Display has been migrated successfully message should be displayed
2. User should be able to migrate display to selected base account</t>
  </si>
  <si>
    <t>test_migratedisplay</t>
  </si>
  <si>
    <t>Verify that user is able to delete Schedule</t>
  </si>
  <si>
    <t>Pre-Requisite:-
1. Existing Dsiplay should be available
2. Existing schedule should be assigned to display
Steps:
1.Launch JioSignage  Sign In Page : https://digitalsignage.jio.com/users/sign_in .
2.Login with valid credential.
3. Click Content Management &gt; Display
4. Click on Delete Schedule icon under action column
5. Click on OK</t>
  </si>
  <si>
    <t>1. Schedule has been deleted successfully message should be displayed
2. The schedule should not be observed under schedule column</t>
  </si>
  <si>
    <t>test_deleteschedulefordisplay</t>
  </si>
  <si>
    <t>Password</t>
  </si>
  <si>
    <t>Verify that user is able to change password of Display</t>
  </si>
  <si>
    <t>Pre-Requiste:-
1. Existing display should be available
Steps:-
1.Launch JioSignage  Sign In Page : https://digitalsignage.jio.com/users/sign_in .
2.Login with valid credential.
3. Click Content Management &gt; Display
4. Click on  Change Password &gt; Enter password
5. Enter same password in password Confirmation
6. Click on Save</t>
  </si>
  <si>
    <t xml:space="preserve">1. Display was updated successfully notification should be observed
2. User should be able to change password
</t>
  </si>
  <si>
    <t>test_changepasswordfordisplay</t>
  </si>
  <si>
    <t>Tag</t>
  </si>
  <si>
    <t>Verify that user can see Tag List</t>
  </si>
  <si>
    <t>Pre-Requiste:-
1. Existing display should be available
Steps:-
1.Launch JioSignage  Sign In Page : https://digitalsignage.jio.com/users/sign_in .
2.Login with valid credential.
3. Click Content Management &gt; Display
4. Click on Tag icon observe</t>
  </si>
  <si>
    <t>User should be able to see Tag List</t>
  </si>
  <si>
    <t>test_TagListPage</t>
  </si>
  <si>
    <t>Bulk create</t>
  </si>
  <si>
    <t>Verify Bulk Create Functionality</t>
  </si>
  <si>
    <t>1.Launch JioSignage  Sign In Page : https://digitalsignage.jio.com/users/sign_in .
2.Login with valid credential.
3. Click Content Management &gt; Display
4. Click on Bulk create
5. Select a CSV file
6. Click on upload</t>
  </si>
  <si>
    <t>User should be able to create all the displays mentioned in the file</t>
  </si>
  <si>
    <t>test_bulkCreate</t>
  </si>
  <si>
    <t>Sort</t>
  </si>
  <si>
    <t>Verify Sort by Display ID</t>
  </si>
  <si>
    <t>Pre-Requisite:-
1. Existing Display should be available
Steps:-
1.Launch JioSignage  Sign In Page : https://digitalsignage.jio.com/users/sign_in .
2.Login with valid credential.
3. Click Content Management &gt; Display
4. Click up arrow and Down arrow in Display ID column
5. Observe</t>
  </si>
  <si>
    <t>User should be able to Sort Display ID in both ascending and descending order</t>
  </si>
  <si>
    <t>test_Sort_byDisplayID</t>
  </si>
  <si>
    <t>Verify Sort by Display Name</t>
  </si>
  <si>
    <t>Pre-Requisite:-
1. Existing Display should be available
Steps:-
1.Launch JioSignage  Sign In Page : https://digitalsignage.jio.com/users/sign_in .
2.Login with valid credential.
3.Click Content Management &gt; Display
4. Click up arrow and Down arrow in Display Name column
5. Observe</t>
  </si>
  <si>
    <t>User should be able to Sort Display Name in both ascending and descending order</t>
  </si>
  <si>
    <t>test_sort_byDisplayName</t>
  </si>
  <si>
    <t>Verify Search Functionality</t>
  </si>
  <si>
    <t>Pre-Requisite:-
1. Existing display should be available
Steps:-
1.Launch JioSignage  Sign In Page : https://digitalsignage.jio.com/users/sign_in .
2.Login with valid credential.
3. Click Content Management &gt; Display
4.Click on Search Box
5. Enter Some query
6. Observe</t>
  </si>
  <si>
    <t>User should be able search Display</t>
  </si>
  <si>
    <t>test_searchBar_functionality</t>
  </si>
  <si>
    <t>Schedule History button</t>
  </si>
  <si>
    <t>Verify "Schedule Deliver History" button is available on each display and on click on them , able to see schedule history</t>
  </si>
  <si>
    <t>1.Launch JioSignage  Sign In Page : https://digitalsignage.jio.com/users/sign_in .
2.Login with valid credential.
3. Click Content Management &gt; Display
4. Click Schedule history icon.</t>
  </si>
  <si>
    <t>User should able to view the history icon and all schedule history of that display should be available.</t>
  </si>
  <si>
    <t>Able to see schedule deliver history when schedule from "Deliver All" button .</t>
  </si>
  <si>
    <t>Pre-condition:-
1.Setup box should be connected to a display
2. Login with Display ID and Display password 
3. Existing Display should be available
4. Schedule should be assigned to display
Steps
1.Launch JioSignage  Sign In Page : https://digitalsignage.jio.com/users/sign_in .
2.Login with valid credential.
3. Click Content Management &gt; Display.
4.Click deliver option which is available on top right corner &gt;  Click on Deliver Now &gt;  Deliver &gt; Ok
5. Click Schedule history icon.</t>
  </si>
  <si>
    <t>User should able to view the delivered schedule history and all schedule history of that display should be available.</t>
  </si>
  <si>
    <t>test_scheduleDisplayHistory</t>
  </si>
  <si>
    <t>Able to see schedule deliver history when schedule from Head to Base display</t>
  </si>
  <si>
    <t>Pre-condition:-
1.Setup box should be connected to a display
2. Login with Display ID and Display password
3. Existing Display should be available
4. Existing base should be available
Steps
1.Launch JioSignage  Sign In Page : https://digitalsignage.jio.com/users/sign_in .
2.Login with valid credential.
3. Click Content Management &gt; Display &gt; assign schedule  &gt; select base &gt; select schedule &gt; deliver.
4  Switch to base account &gt; Click Schedule history icon.</t>
  </si>
  <si>
    <t>Customized on off</t>
  </si>
  <si>
    <t>Verify the customized on off  option from more option.</t>
  </si>
  <si>
    <t>1.Launch JioSignage  Sign In Page : https://digitalsignage.jio.com/users/sign_in .
2.Login with valid credential.
3.Click Content Management  drop down&gt;click on display&gt;choose any existing display
4.Click on three dots&gt;observe the customized on off option.</t>
  </si>
  <si>
    <t>Customized on off option should available.</t>
  </si>
  <si>
    <t>Verify that the user is able to click on customized on off  option.</t>
  </si>
  <si>
    <t>1.Launch JioSignage  Sign In Page : https://digitalsignage.jio.com/users/sign_in .
2.Login with valid credential.
3.Click Content Management  drop down&gt;click on display&gt;choose any existing display
4.Click on three dots&gt;observe the customized on off option&gt;click on it.</t>
  </si>
  <si>
    <t>1&gt;User should able to click the customized on off option from more options.
2&gt;Customized on off osdwill appear in display.</t>
  </si>
  <si>
    <t>Verify that the user is able to Enable and disable toggle button in custom on off page.</t>
  </si>
  <si>
    <t>1.Launch JioSignage  Sign In Page : https://digitalsignage.jio.com/users/sign_in .
2.Login with valid credential.
3.Click Content Management  drop down&gt;click on display&gt;choose any existing display
4.Click on three dots&gt;observe the customized on off option&gt;click on it.
5.Now click on enable the toggle button and observe.</t>
  </si>
  <si>
    <t>1. By default toggle button should be disabled.
2.User should able to enable and disable the toggle button in customized on off page.</t>
  </si>
  <si>
    <t>Fall Back content</t>
  </si>
  <si>
    <t>Verify user is able to set Fall back content</t>
  </si>
  <si>
    <t>1.Launch JioSignage  Sign In Page : https://digitalsignage.jio.com/users/sign_in .
2.Login with valid credential.
3. Click on Contenet Management&gt; Display
4. Click on Add new Display.
5. Enter all the details
6. Select a Fallback content from Drop down.
7. Click on Add</t>
  </si>
  <si>
    <t>User should able to set and play fall back content on display</t>
  </si>
  <si>
    <t xml:space="preserve">Material </t>
  </si>
  <si>
    <t>Create a playlist from shared folder</t>
  </si>
  <si>
    <t xml:space="preserve">User should able to create a Playlist from Shared folder </t>
  </si>
  <si>
    <t>Verify user is able to create a Playlist from Shared folder and able to play it on display</t>
  </si>
  <si>
    <t>Screen Capture</t>
  </si>
  <si>
    <t>User should be able to see captured screen on Screen Capture Tab</t>
  </si>
  <si>
    <t>1. Launch JioSignage  Sign In Page : https://digitalsignage.jio.com/users/sign_in .
2. Login with valid credentials.
3. Click on Live Monitoring
4. Observe</t>
  </si>
  <si>
    <t>Verify Screen shot are getting displayed , refresh on time and no issue while using functionality exaustively</t>
  </si>
  <si>
    <t>1. Launch JioSignage  Sign In Page : https://digitalsignage.jio.com/users/sign_in .
2. Login with valid credentials.
3. Click Content Management &gt; Displays
4. Click number near to text "show" which is available on bottom left corner.</t>
  </si>
  <si>
    <t>test_20_50_100_200_500_entriesOfDisplays</t>
  </si>
  <si>
    <t>Verify Search Icon Functionality</t>
  </si>
  <si>
    <t>1.Launch JioSignage  Sign In Page : https://digitalsignage.jio.com/users/sign_in .
2.Login with valid credential.
3. Click Content Management &gt; Display
4. Click on Search Icon
5. Observe</t>
  </si>
  <si>
    <t>User should be able to search Display Id, Display Name and Schedule column</t>
  </si>
  <si>
    <t>test_searchBar_display_nameAndId</t>
  </si>
  <si>
    <t>Display Information</t>
  </si>
  <si>
    <t>Edit Display details</t>
  </si>
  <si>
    <t>Verify that user is able to edit display details from Display Information Page</t>
  </si>
  <si>
    <t>Pre-Requisite:-
1. Existing Display should be available
Steps:-
1.Launch JioSignage  Sign In Page : https://digitalsignage.jio.com/users/sign_in .
2.Login with valid credential.
3. Click on Content Management &gt; Displays
4. Click on Display Name
5. Click on Device Info
6. Click on Edit icon available near Display Details
7. Edit all the details ( Display name, Mobile number, State, Pin code, City, District, Latitude, Longitude, Store address, Mifi Serial Number ) and click on save</t>
  </si>
  <si>
    <t xml:space="preserve">1.User should be able to edit display details
2. Display updated successfully notification should be observed.
3. User should be directed to Display Page
</t>
  </si>
  <si>
    <t>Display Logs</t>
  </si>
  <si>
    <t>Verify that user is able to view Display Logs</t>
  </si>
  <si>
    <t>Pre-Requisite:-
1. Existing Display should be available
Steps:-
1.Launch JioSignage  Sign In Page : https://digitalsignage.jio.com/users/sign_in .
2.Login with valid credential.
3. Click on Content Management &gt; Displays
4. Click on Display Name
5. Click on Logs on Display Information Page.
6. Observe</t>
  </si>
  <si>
    <t>User should be able to view Display Logs</t>
  </si>
  <si>
    <t>Verify the search bar functionality in logs page.</t>
  </si>
  <si>
    <t>Pre-Requisite:-
1. Existing Display should be available
Steps:-
1.Launch JioSignage  Sign In Page : https://digitalsignage.jio.com/users/sign_in .
2.Login with valid credential.
3. Click on Content Management &gt; Displays
4. Click on Display Name
5. Click on Logs on Display Information Page.
6. Click on search bar &gt;search any data and observe</t>
  </si>
  <si>
    <t>User should able to search the data using search bar</t>
  </si>
  <si>
    <t>Display Settings</t>
  </si>
  <si>
    <t>Verify that the user is able to enable and disable the play jio ads toggle button.</t>
  </si>
  <si>
    <t>1.Launch JioSignage  Sign In Page : https://digitalsignage.jio.com/users/sign_in .
2.Login with valid credential.
3. Click on Content Management &gt; Displays
4. Click on Display Name
5. Click on display setting and click on play jio add toggle button observe</t>
  </si>
  <si>
    <t>1. User should be able to turn on and off the toggle button
2. Jio ads should play on the client Display</t>
  </si>
  <si>
    <t>Sync</t>
  </si>
  <si>
    <t>Verify that the user is able to sync the content in client display using sync option.</t>
  </si>
  <si>
    <t>1.Launch JioSignage  Sign In Page : https://digitalsignage.jio.com/users/sign_in .
2.Login with valid credential.
3. Click on Content Management &gt; Displays
4. Click on Display Name
5. Click on Sync &gt; Click on OK on "Do you want to continue pop up"
6. Observe</t>
  </si>
  <si>
    <t>User should be able to Sync display and content</t>
  </si>
  <si>
    <t>Reboot</t>
  </si>
  <si>
    <t>Verify that the user is able to reboot the selected display from display info page</t>
  </si>
  <si>
    <t>1.Launch JioSignage  Sign In Page : https://digitalsignage.jio.com/users/sign_in .
2.Login with valid credential.
3. Click on Content Management &gt; Displays
4. Click on Display Name
5. Click on Reboot &gt; Click on OK on "Do you want to continue pop up"
6. Observe</t>
  </si>
  <si>
    <t>1. Selected display should get reboot successfully by selecting reboot option
2. Reboot successfully notification should be observed</t>
  </si>
  <si>
    <t>Relaunch</t>
  </si>
  <si>
    <t>Verify that the user is able to relaunch the display by clicking on  relaunch  option</t>
  </si>
  <si>
    <t>1.Launch JioSignage  Sign In Page : https://digitalsignage.jio.com/users/sign_in .
2.Login with valid credential.
3. Click on Content Management &gt; Displays
4. Click on Display Name
5.Click on Relaunch &gt; Click on OK on "Do you want to continue pop up"
6. Observe</t>
  </si>
  <si>
    <t>1.Relaunch successfully pop up will get in display.
2. Selected display will relaunch in client display.</t>
  </si>
  <si>
    <t>Change Password</t>
  </si>
  <si>
    <t>Verify that the user is able to change the password by clicking change password option in display info page.</t>
  </si>
  <si>
    <t>1.Launch JioSignage  Sign In Page : https://digitalsignage.jio.com/users/sign_in .
2.Login with valid credential.
3. Click on Content Management &gt; Displays
4. Click on Display Name
5. Click on Change Password
6.  Enter the new password  and reenter the password  on Change password OSD&gt; click on save and observe</t>
  </si>
  <si>
    <t>1. User should be logged out from client display
2. User should be able to change password
3. User should be able to login to client Display using New password</t>
  </si>
  <si>
    <t>Request Screen Capture</t>
  </si>
  <si>
    <t>Verify that user is able to capture Screen according to the selected resolution</t>
  </si>
  <si>
    <t>1.Launch JioSignage  Sign In Page : https://digitalsignage.jio.com/users/sign_in .
2.Login with valid credential.
3. Click on Content Management &gt; Displays
4. Click on Display Name
5. Click on Request Screen Capture &gt;  Select any of the available Resolution &gt; Click on Capture Screen</t>
  </si>
  <si>
    <t>1. Capture screen pop up message should be observed in display
2. User should be able to capture screen according to the selected Resolution</t>
  </si>
  <si>
    <t>Set Volume</t>
  </si>
  <si>
    <t>Verify that user is able to increase/ decrease volume</t>
  </si>
  <si>
    <t>1.Launch JioSignage  Sign In Page : https://digitalsignage.jio.com/users/sign_in .
2.Login with valid credential.
3. Click on Content Management &gt; Displays
4. Click on Display Name
5. Click on Set Volume &gt; Increase and Decrease the volume using the slider &gt; Click on Set Volume</t>
  </si>
  <si>
    <t>1. User should be able to increase and decrease the volume using the slider.
2. User should able to hear the modified volume reflect in client display.
3. Set volume successfully pop up should be observed</t>
  </si>
  <si>
    <t>Set Brightness</t>
  </si>
  <si>
    <t>Verify that user is able to increase/ decrease the brightness</t>
  </si>
  <si>
    <t>1.Launch JioSignage  Sign In Page : https://digitalsignage.jio.com/users/sign_in .
2.Login with valid credential.
3. Click on Content Management &gt; Displays
4. Click on Display Name
5. Click on Set Brightness &gt; Increase and Decrease the brightness using the slider &gt; Click on Set Brightness</t>
  </si>
  <si>
    <t>1. User should be able to increase and decrease the brightness using the slider.
2. User should able to see the modified brightness reflect in client display.
3. Set Brightness successfully pop up should be observed</t>
  </si>
  <si>
    <t>Display Reassign</t>
  </si>
  <si>
    <t>Verify Display Reassign Functionality</t>
  </si>
  <si>
    <t>1.Launch JioSignage  Sign In Page : https://digitalsignage.jio.com/users/sign_in .
2.Login with valid credential.
3. Click on Content Management &gt; Displays
4. Click on Display Name
5. Click on Display Reassign
6. Click on OK on "Do you want to continue pop up"
7. Observe</t>
  </si>
  <si>
    <t>1. User should be logged out from client display
2. Display reassign successfully notificationhould be observed</t>
  </si>
  <si>
    <t>Raise a Ticket</t>
  </si>
  <si>
    <t>Verify Raise a Ticket Functionality</t>
  </si>
  <si>
    <t>1.Launch JioSignage  Sign In Page : https://digitalsignage.jio.com/users/sign_in .
2.Login with valid credential.
3. Click on Content Management &gt; Displays
4. Click on Display Name
5. Click on raise a Ticket
6. Fill all the details and click on Submit</t>
  </si>
  <si>
    <t>User should be able to raise a ticket from Display Information Page</t>
  </si>
  <si>
    <t>test_raiseTicket</t>
  </si>
  <si>
    <t xml:space="preserve">Display </t>
  </si>
  <si>
    <t>Verify that user is able to add new Display</t>
  </si>
  <si>
    <t xml:space="preserve">1.Launch JioSignage  Sign In Page : https://digitalsignage.jio.com/users/sign_in .
2.Login with valid credential.
3. Click Content Management &gt; Display
4. Click on Add new Display
5. Fill all the details and click on Add
</t>
  </si>
  <si>
    <t>1. User should be able to create new Display
2. A table containg Display ID, Display Name , Folder, Schedule, Tag and Actions column should be visible</t>
  </si>
  <si>
    <t>Verify that user is able to set Default Off/On Date and Time</t>
  </si>
  <si>
    <t>1.Launch JioSignage  Sign In Page : https://digitalsignage.jio.com/users/sign_in .
2.Login with valid credential.
3.Click Content Management  drop down&gt;click on display&gt;choose any existing display
4.Click on three dots&gt;observe the customized on off option&gt;click on it.
5.Now click on enable the toggle button &gt; Click on Default.
6. Set off date and off time.
7. Set on date and on Time
8. Click on Save</t>
  </si>
  <si>
    <t>1. User should be able to set Default Off/On Date and Time.
2. Display should turn off at the specified date and time and it should turn on the designated date and time
3. Customized on and off has been set successfully notification should be observed</t>
  </si>
  <si>
    <t>Check Network Speed</t>
  </si>
  <si>
    <t>Verify that user is able to check Network Speed</t>
  </si>
  <si>
    <t>1.Launch JioSignage  Sign In Page : https://digitalsignage.jio.com/users/sign_in .
2.Login with valid credential.
3.Click Content Management  drop down&gt;click on display&gt;choose any existing display
4.Click on three dots&gt;Click on Check Network Speed</t>
  </si>
  <si>
    <t>1. User should be able to get Network Speed of selected display</t>
  </si>
  <si>
    <t>Verify that user is able to edit display</t>
  </si>
  <si>
    <t>1.Launch JioSignage  Sign In Page : https://digitalsignage.jio.com/users/sign_in .
2.Login with valid credential.
3.Click content &gt; material&gt; upload raw material.
4.Click Content &gt; create content with approval.
5. Click Schedule &gt; add schedule
6. Click Content &gt; Display
7. Click on Edit icon under action column
8. Edit the details
9. Click on Save</t>
  </si>
  <si>
    <t>1. Display was successfully updated notification should be displayed
2. User should be able to edit display</t>
  </si>
  <si>
    <t>test_Editdisplay</t>
  </si>
  <si>
    <t>Delete display completely</t>
  </si>
  <si>
    <t>Verify that user is able to delete a display</t>
  </si>
  <si>
    <t>1.Launch JioSignage  Sign In Page : https://digitalsignage.jio.com/users/sign_in .
2.Login with valid credential.
3. Click Content Management &gt; Display
4. Create a Display
5. Using Checkbox select the display
6. Click on three dots &gt; Click on Delete Completely
7 On Delete Completely OSD click on Ok</t>
  </si>
  <si>
    <t>Display should get deleted permanently</t>
  </si>
  <si>
    <t>test_DeleteCompletelyDisplay</t>
  </si>
  <si>
    <t>Verify user is able to add tag to display</t>
  </si>
  <si>
    <t>1.Launch JioSignage  Sign In Page : https://digitalsignage.jio.com/users/sign_in .
2.Login with valid credential.
3. Click Content Management &gt; Display
4. Select any existing display
5. Go to 3 dot menu - &gt; Add tag-&gt; create new tag-&gt; hit Add .
6 . Validate created tag is added to the display</t>
  </si>
  <si>
    <t>Created tag should get added to the display</t>
  </si>
  <si>
    <t>test_Display_AddTag</t>
  </si>
  <si>
    <t>Verify user is able to remove tag from display</t>
  </si>
  <si>
    <t>1.Launch JioSignage  Sign In Page : https://digitalsignage.jio.com/users/sign_in .
2.Login with valid credential.
3. Click Content Management &gt; Display
4. Select any existing display
5. Go to 3 dot menu - &gt; Remove  tag-&gt; hit remove
6 . Validate selected tag should be removed .</t>
  </si>
  <si>
    <t>Selected tag should be removed from the display</t>
  </si>
  <si>
    <t>test_Display_RemoveTag</t>
  </si>
  <si>
    <t>Display logs</t>
  </si>
  <si>
    <t>Verify display logs</t>
  </si>
  <si>
    <t>1.Launch JioSignage  Sign In Page : https://digitalsignage.jio.com/users/sign_in .
2.Login with valid credential.
3. Click Content Management &gt; Display
4. Create new display
5. Validate display logs capture event - new display created in step 4</t>
  </si>
  <si>
    <t>Display log should capture event display creation</t>
  </si>
  <si>
    <t>test_displayLogs_CreatedDisplay</t>
  </si>
  <si>
    <t>User Management</t>
  </si>
  <si>
    <t>Verify UI/UX of User Management page</t>
  </si>
  <si>
    <t>1. Launch JioSignage  Sign In Page : https://digitalsignage.jio.com/users/sign_in . 
2. Login with valid credentials.
3.Click User Access &gt; User Management
4. Observe User Management page</t>
  </si>
  <si>
    <t>1. Verify under User Management page 'Add, Delete and Modify User' text is displayed
2. Add New User option is available for selection
3. Search box is available
4. Table with columns Name, Email Address, Role, Permission, Activation Status &amp; Action are available</t>
  </si>
  <si>
    <t>test_verifyUserMgt_UIUX</t>
  </si>
  <si>
    <t>Verify User cannot add New user with already used Mobile Number</t>
  </si>
  <si>
    <t>1. Launch JioSignage  Sign In Page : https://digitalsignage.jio.com/users/sign_in . 
2. Login with valid credentials.
3.Click User Access &gt; User Management
4.Click + Add New User on the right side.
5. Verify Add User Account pop up appears as new page.
6. Enter User Name, Email Address then confirm Email and used Phone Number.
7. Select User Type &amp; Provide required access.
8. Click on Add &amp; observed the behavior</t>
  </si>
  <si>
    <t>Verify text "Mobile Number already exists" is displayed</t>
  </si>
  <si>
    <t>test_verify_DuplicateMobileNum_Alert</t>
  </si>
  <si>
    <t>Verify User cannot add New user with already used Email</t>
  </si>
  <si>
    <t>1. Launch JioSignage  Sign In Page : https://digitalsignage.jio.com/users/sign_in . 
2. Login with valid credentials.
3.Click User Access &gt; User Management
4.Click + Add New User on the right side.
5. Verify Add User Account pop up appears as new page.
6. Enter User Name, Email Address then confirm Email which is already used and Phone Number.
7. Select User Type &amp; Provide required access.
8. Click on Add &amp; observed the behavior</t>
  </si>
  <si>
    <t>Verify Email id already exists 
with availed access</t>
  </si>
  <si>
    <t>test_verify_DuplicateEmail_Alert</t>
  </si>
  <si>
    <t>Verify User can add New user with existing User Name</t>
  </si>
  <si>
    <t>1. Launch JioSignage  Sign In Page : https://digitalsignage.jio.com/users/sign_in . 
2. Login with valid credentials.
3.Click User Access &gt; User Management
4.Click + Add New User on the right side.
5. Verify Add User Account pop up appears as new page.
6. Enter existing User Name, Email Address then confirm Email and Phone Number.
7. Select User Type &amp; Provide required access.
8. Click on Add &amp; observed the behavior</t>
  </si>
  <si>
    <t>Verify New user can be added with existing user name</t>
  </si>
  <si>
    <t>test_verify_AddUserWithExistingName</t>
  </si>
  <si>
    <t>Verify User is able to Cancel the add New user</t>
  </si>
  <si>
    <t>1. Launch JioSignage  Sign In Page : https://digitalsignage.jio.com/users/sign_in . 
2. Login with valid credentials.
3.Click User Access &gt; User Management
4.Click + Add New User on the right side.
5. Verify Add User Account pop up appears as new page.
6. Enter User Name, Email Address then confirm Email and Phone Number.
7. Select User Type &amp; Provide required access.
8. Click on Cancel &amp; observe the behavior</t>
  </si>
  <si>
    <t>Verify User not added</t>
  </si>
  <si>
    <t>test_verify_AddUser_CancelBtn</t>
  </si>
  <si>
    <t>Verify User types on Add User Account page</t>
  </si>
  <si>
    <t>1. Launch JioSignage  Sign In Page : https://digitalsignage.jio.com/users/sign_in . 
2. Login with valid credentials.
3.Click User Access &gt; User Management
4.Click + Add New User on the right side.
5. Verify Add User Account pop up appears as new page.
6. Enter Contractor User, Editor User, Advertiser User  &amp; Custom Role options are available in which only one cane be selected at a time.
7. Select User Type &amp; Provide required access.
8. Click on Add &amp; observe the behavior</t>
  </si>
  <si>
    <t xml:space="preserve">1-Verify Contractor User, Editor User, Advertiser User  &amp; Custom Role options are available in which only one can be selected at a time.
2-Verify login with created account &amp; check role work as per behavior </t>
  </si>
  <si>
    <t>test_userType_selection</t>
  </si>
  <si>
    <t>Verify Search Box Functionality</t>
  </si>
  <si>
    <t>1. Launch JioSignage  Sign In Page : https://digitalsignage.jio.com/users/sign_in . 
2. Login with valid credentials.
3. Click User Access &gt; User Management
4. Click Search box icon on upper left
5. Enter text  &amp; observe the behavior</t>
  </si>
  <si>
    <t xml:space="preserve">Verify User is searchable by User 
Name or Email Id or Role or Permission or Activation Status
Verify login with created account &amp; check role worked as per behavior </t>
  </si>
  <si>
    <t>test_searchFunction</t>
  </si>
  <si>
    <t>1. Launch JioSignage  Sign In Page : https://digitalsignage.jio.com/users/sign_in . 
2. Login with valid credentials.
3. Click User Access &gt; User Management
4. Click Search icon on upper left
5. Observe`</t>
  </si>
  <si>
    <t>Verify User Name, Email Id, Role, Permission &amp; Activation Status is displayed in background and particular column is searchable</t>
  </si>
  <si>
    <t>test_searchFunction_ByAllScenario</t>
  </si>
  <si>
    <t>Verify Name Search Functionality</t>
  </si>
  <si>
    <t xml:space="preserve">1. Launch JioSignage  Sign In Page : https://digitalsignage.jio.com/users/sign_in . 
2. Login with valid credentials.
3. Click User Access &gt; User Management
4. Click Search box icon
5. Enter text in Name Search Box </t>
  </si>
  <si>
    <t>Verify User is searchable by User 
Name</t>
  </si>
  <si>
    <t>test_searchFunction_ByUserName</t>
  </si>
  <si>
    <t>Verify Email Address Search Functionality</t>
  </si>
  <si>
    <t xml:space="preserve">1. Launch JioSignage  Sign In Page : https://digitalsignage.jio.com/users/sign_in . 
2. Login with valid credentials.
3. Click User Access &gt; User Management
4. Click Search box icon
5. Enter text in Email Address Search Box </t>
  </si>
  <si>
    <t xml:space="preserve">Verify User is searchable by Email Id </t>
  </si>
  <si>
    <t>test_searchFunction_ByEmail</t>
  </si>
  <si>
    <t>Verify Role Search Functionality</t>
  </si>
  <si>
    <t xml:space="preserve">1. Launch JioSignage  Sign In Page : https://digitalsignage.jio.com/users/sign_in . 
2. Login with valid credentials.
3. Click User Access &gt; User Management
4. Click Search box icon
5. Enter text in Role Search Box </t>
  </si>
  <si>
    <t xml:space="preserve">Verify User is searchable by Role </t>
  </si>
  <si>
    <t>test_searchFunction_ByRole</t>
  </si>
  <si>
    <t>Verify Permission Search Functionality</t>
  </si>
  <si>
    <t xml:space="preserve">1. Launch JioSignage  Sign In Page : https://digitalsignage.jio.com/users/sign_in . 
2. Login with valid credentials.
3. Click User Access &gt; User Management
4. Click Search box icon
5. Enter text in Permission Search Box </t>
  </si>
  <si>
    <t>Verify User is searchable by Permission</t>
  </si>
  <si>
    <t>test_searchFunction_ByPermission</t>
  </si>
  <si>
    <t>Verify Activation Status Search Functionality</t>
  </si>
  <si>
    <t>1. Launch JioSignage  Sign In Page : https://digitalsignage.jio.com/users/sign_in . 
2. Login with valid credentials.
3. Click User Access &gt; User Management
4. Click Search box icon
5. Enter text in Activation Status search box</t>
  </si>
  <si>
    <t>Verify User is searchable by Activation Status</t>
  </si>
  <si>
    <t>test_searchFunction_ByActivationStatus</t>
  </si>
  <si>
    <t>Verify SORT By Name Functionality</t>
  </si>
  <si>
    <t>1. Launch JioSignage  Sign In Page : https://digitalsignage.jio.com/users/sign_in . 
2. Login with valid credentials.
3. Click User Access &gt; User Management
4. Click on Sort By up &amp; down arrow against Name 
5. Observe</t>
  </si>
  <si>
    <t xml:space="preserve">Verify User is able to SORT the list by Name </t>
  </si>
  <si>
    <t>test_sort_byName</t>
  </si>
  <si>
    <t>Verify SORT By Email Address Functionality</t>
  </si>
  <si>
    <t>1. Launch JioSignage  Sign In Page : https://digitalsignage.jio.com/users/sign_in . 
2. Login with valid credentials.
3. Click User Access &gt; User Management
4. Click on Sort By up &amp; down arrow Email Address
5. Observe</t>
  </si>
  <si>
    <t>Verify User is able to SORT the list by Email Address</t>
  </si>
  <si>
    <t>test_sort_byEmail</t>
  </si>
  <si>
    <t>Verify SORT By Role Functionality</t>
  </si>
  <si>
    <t>1. Launch JioSignage  Sign In Page : https://digitalsignage.jio.com/users/sign_in . 
2. Login with valid credentials.
3. Click User Access &gt; User Management
4. Click on Sort By up &amp; down arrow Role
5. Observe</t>
  </si>
  <si>
    <t xml:space="preserve">Verify User is able to SORT the list by Role of the user </t>
  </si>
  <si>
    <t>test_sort_byRole</t>
  </si>
  <si>
    <t>Verify SORT By Permission Functionality</t>
  </si>
  <si>
    <t>1. Launch JioSignage  Sign In Page : https://digitalsignage.jio.com/users/sign_in . 
2. Login with valid credentials.
3. Click User Access &gt; User Management
4. Click on Sort By up &amp; down arrow against Permission
5. Observe</t>
  </si>
  <si>
    <t>Verify User is able to SORT the list by Permission</t>
  </si>
  <si>
    <t>test_sort_byPermission</t>
  </si>
  <si>
    <t>Verify SORT By Activation Status Functionality</t>
  </si>
  <si>
    <t>1. Launch JioSignage  Sign In Page : https://digitalsignage.jio.com/users/sign_in . 
2. Login with valid credentials.
3. Click User Access &gt; User Management
4. Click on Sort By up &amp; down arrow against Activation Status
5. Observe</t>
  </si>
  <si>
    <t>Verify User is able to SORT the list by Activation Status</t>
  </si>
  <si>
    <t>test_sort_byActivationStatus</t>
  </si>
  <si>
    <t xml:space="preserve">Verify Add User Account page for Contractor 
User </t>
  </si>
  <si>
    <t xml:space="preserve">1. Launch JioSignage  Sign In Page : https://digitalsignage.jio.com/users/sign_in . 
2. Login with valid credentials.
3. Click User Access &gt; User Management
4. Click + Add New User on the right side.
5. Verify Add User Account pop up appears as new page.
6. Select Contractor User
7. Observe enabled/disabled checkbox options &amp;  enabled checkbox are checkable </t>
  </si>
  <si>
    <t>Verify login with created account &amp; check role worked as per behavior 
1. Verify 'Allow to delete folder/material/content/playlist/schedule' option is disabled &amp; checked
2. Verify 'Allow to delete completely folder/material/content/playlist/schedule' option is enabled &amp; checkable
3. Verify 'Allow to add delivery/delivery instantly' option is disabled &amp; checked
4. Verify 'Allow to delete base' option is enabled &amp; checkable</t>
  </si>
  <si>
    <t>test_addUserPage_checkboxes_contractorUser</t>
  </si>
  <si>
    <t xml:space="preserve">Verify Add User Account page for Editor 
User </t>
  </si>
  <si>
    <t xml:space="preserve">1. Launch JioSignage  Sign In Page : https://digitalsignage.jio.com/users/sign_in . 
2. Login with valid credentials.
3. Click User Access &gt; User Management
4. Click + Add New User on the right side.
5. Verify Add User Account pop up appears as new page.
6. Select Editor User
7. Observe enabled/disabled checkbox options &amp;  enabled checkbox are checkable </t>
  </si>
  <si>
    <t>Verify login with created account &amp; check role worked as per behavior 
1. Verify 'Allow to delete folder/material/content/playlist/schedule' option is enabled &amp; checked
2. Verify 'Allow to delete completely folder/material/content/playlist/schedule' option is disabled &amp; unchecked
3. Verify 'Allow to add delivery/delivery instantly' option is enabled &amp; checked
4. Verify 'Allow to delete base' option is disabled &amp; unchecked</t>
  </si>
  <si>
    <t>test_addUserPage_checkboxes_editorUser</t>
  </si>
  <si>
    <t xml:space="preserve">Verify Add User Account page for Advertiser 
User </t>
  </si>
  <si>
    <t>1. Launch JioSignage  Sign In Page : https://digitalsignage.jio.com/users/sign_in . 
2. Login with valid credentials.
3. Click User Access &gt; User Management
4. Click + Add New User on the right side.
5. Verify Add User Account pop up appears as new page.
6. Select Advertiser User
7. Observe Advertiser tag is selectable from dropdown</t>
  </si>
  <si>
    <t>Verify Advertiser tag is available for 
selection from dropdown</t>
  </si>
  <si>
    <t>test_addUserPage_checkboxes_advertiserUser</t>
  </si>
  <si>
    <t>Verify Add User Account page for Custom Role</t>
  </si>
  <si>
    <t xml:space="preserve">1. Launch JioSignage  Sign In Page : https://digitalsignage.jio.com/users/sign_in . 
2. Login with valid credentials.
3. Click User Access &gt; User Management
4. Click + Add New User on the right side.
5. Verify Add User Account pop up appears as new page.
6. Select Custom Role
7. Observe Custom Role can be selected from dropdown </t>
  </si>
  <si>
    <t>Verify Custom Role is selectable from dropdown</t>
  </si>
  <si>
    <t>test_addUserPage_checkboxes_customUser</t>
  </si>
  <si>
    <t>1. Launch JioSignage  Sign In Page : https://digitalsignage.jio.com/users/sign_in . 
2. Login with valid credentials.
3.Click User Access &gt; User Management
4. Observe entries list</t>
  </si>
  <si>
    <t>test_20_50_100_200_500_entries</t>
  </si>
  <si>
    <t>Add contractor with "Allow to delete completely folder/material/content/playlist/schedule" &amp; Allow to delete base</t>
  </si>
  <si>
    <t>1. Launch JioSignage  Sign In Page : https://digitalsignage.jio.com/users/sign_in . 
2. Login with valid credentials.
3. Click User Access &gt; User Management
4. Add contractor with "Allow to delete completely folder/material/content/playlist/schedule" &amp; Allow to delete base
5. Verify user able to delete "folder/material/content/playlist/schedule "completely and delete base</t>
  </si>
  <si>
    <t>Verify login with created account &amp; check role  
Verify  contractor account is created with following permission :
1. Allow to delete folder/material/content/playlist/schedule
2. Allow to delete completely folder/material/content/playlist/schedule
3. Allow to add delivery/delivery instantly
4. Allow to delete base
User should be able to exercise all these permission given to account.</t>
  </si>
  <si>
    <t>test_checkboxes_1_2_3_4_contractorUser</t>
  </si>
  <si>
    <t xml:space="preserve">Add contractor with "Allow to delete completely folder/material/content/playlist/schedule" </t>
  </si>
  <si>
    <t>1. Launch JioSignage  Sign In Page : https://digitalsignage.jio.com/users/sign_in . 
2. Login with valid credentials.
3. Click User Access &gt; User Management
4. Add contractor with "Allow to delete completely folder/material/content/playlist/schedule" &amp; Allow to delete base
5. Verify user able to delete "folder/material/content/playlist/schedule "completely and "NOT" able to delete base</t>
  </si>
  <si>
    <t>Verify  contractor account is created with following permission :
1. Allow to delete folder/material/content/playlist/schedule
2. Allow to delete completely folder/material/content/playlist/schedule
3. Allow to add delivery/delivery instantly
However Permission "able to delete base" is not provided hence make sure that user is not able to exercise this permission</t>
  </si>
  <si>
    <t>test_checkboxes_1_2_3_contractorUser</t>
  </si>
  <si>
    <t>Add contractor with  Allow to delete base</t>
  </si>
  <si>
    <t>Verify  contractor account is created with following permission :
1. Allow to delete folder/material/content/playlist/schedule
2. Allow to add delivery/delivery instantly
3. Allow to delete base
However this permission is not given hence verify that all permission are accessible except" able to completely  delete "folder/material/content/playlist/schedule".</t>
  </si>
  <si>
    <t>test_checkboxes_1_3_4_contractorUser</t>
  </si>
  <si>
    <t>Add Editor with Allow to delete folder/material/content/playlist/schedule and Allow to add delivery/delivery instantly</t>
  </si>
  <si>
    <t>1. Launch JioSignage  Sign In Page : https://digitalsignage.jio.com/users/sign_in . 
2. Login with valid credentials.
3. Click User Access &gt; User Management
4. Add contractor with "Allow to delete completely folder/material/content/playlist/schedule" &amp; Allow to delete base
5. Verify user able to delete folder/material/content/playlist/schedule and Allow to add delivery/delivery instantly</t>
  </si>
  <si>
    <t>Following permission are given:
Allow to delete folder/material/content/playlist/schedule
Allow to add delivery/delivery instantly
Verify user is created with these permission and rest permission should not be accessible to user.</t>
  </si>
  <si>
    <t>test_checkboxes_1_3_editorUser</t>
  </si>
  <si>
    <t xml:space="preserve">Add Editor with Allow to delete folder/material/content/playlist/schedule </t>
  </si>
  <si>
    <t xml:space="preserve">1. Launch JioSignage  Sign In Page : https://digitalsignage.jio.com/users/sign_in . 
2. Login with valid credentials.
3. Click User Access &gt; User Management
4. Add contractor with "Allow to delete completely folder/material/content/playlist/schedule" &amp; Allow to delete base
5. Verify user able to  delete folder/material/content/playlist/schedule </t>
  </si>
  <si>
    <t>Editor user is added &amp; following permission are given:
Allow to delete folder/material/content/playlist/schedule
Verify user is created with these permission and rest permission should not be accessible to user.</t>
  </si>
  <si>
    <t>test_checkboxes_1_editorUser</t>
  </si>
  <si>
    <t>Add Editor with Allow to add delivery/delivery instantly</t>
  </si>
  <si>
    <t>Editor user is created and following permission are given:
Allow to add delivery/delivery instantly
Verify user is created with these permission and rest permission should not be accessible to user.</t>
  </si>
  <si>
    <t>test_checkboxes_3_editorUser</t>
  </si>
  <si>
    <t>Base Management</t>
  </si>
  <si>
    <t>Verify UI/UX of Base Management page</t>
  </si>
  <si>
    <t>1. Launch JioSignage  Sign In Page : https://digitalsignage.jio.com/users/sign_in . 
2. Login with valid credentials.
3. Click User Access &gt; Base Management
4. Observe Base Management page</t>
  </si>
  <si>
    <t>Verify under Base Management page Search, Trash &amp; Add New Base with +icon are available</t>
  </si>
  <si>
    <t>test_verifyBaseMgt_UIUX</t>
  </si>
  <si>
    <t>Verify User able to Add New Base Account</t>
  </si>
  <si>
    <t>1. Launch JioSignage  Sign In Page : https://digitalsignage.jio.com/users/sign_in . 
2. Login with valid credentials.
3. Click User Access &gt; Base Management
4. Select Add New Base then popup appears to provide Base Name
5. Provide Base Name
6. Click Add &amp; observe the behavior</t>
  </si>
  <si>
    <t>Verify Base Name added &amp; displayed 
on Base Management Page with Account ID &amp; Schedule which are greyed out</t>
  </si>
  <si>
    <t>test_AddNewBaseAccount</t>
  </si>
  <si>
    <t>Verify User unable to Add New Base Account 
by clicking Cancel</t>
  </si>
  <si>
    <t>1. Launch JioSignage  Sign In Page : https://digitalsignage.jio.com/users/sign_in . 
2. Login with valid credentials.
3. Click User Access &gt; Base Management
4. Select Add New Base then popup appears to provide Base Name
5. Provide Base Name
6. Click Cancel
7. Observe the behavior</t>
  </si>
  <si>
    <t>Verify Base Name not added</t>
  </si>
  <si>
    <t>test_AddNewBaseAccount_CancelBtn</t>
  </si>
  <si>
    <t>Verify available options on Base Account</t>
  </si>
  <si>
    <t>1. Launch JioSignage  Sign In Page : https://digitalsignage.jio.com/users/sign_in . 
2. Login with valid credentials.
3. Click User Access &gt; Base Management
4. Click vertical 3 dots on Base Account
5. Observe</t>
  </si>
  <si>
    <t>Verify Edit &amp; Delete options are available for selection</t>
  </si>
  <si>
    <t>test_Edit_Delete_Opt_Availability</t>
  </si>
  <si>
    <t>Verify Edit Functionality on existing Base Account</t>
  </si>
  <si>
    <t>1. Launch JioSignage  Sign In Page : https://digitalsignage.jio.com/users/sign_in . 
2. Login with valid credentials.
3. Click User Access &gt; Base Management
4. Click vertical 3 dots on Base Account
5. Select Edit
6. Edit existing name &amp; Save</t>
  </si>
  <si>
    <t>1. Verify Base Account Name is editable
2. Verify Account ID remain same after editing</t>
  </si>
  <si>
    <t>test_EditBaseAccount</t>
  </si>
  <si>
    <t>Verify Delete Functionality on existing Base Account</t>
  </si>
  <si>
    <t>1. Launch JioSignage  Sign In Page : https://digitalsignage.jio.com/users/sign_in . 
2. Login with valid credentials.
3. Click User Access &gt; Base Management
4. Click vertical 3 dots on Base Account
5. Select Delete
6. Observe</t>
  </si>
  <si>
    <t>1. Verify deleted Base Account is not displayed &amp; not searchable on Base Management page
2. Verify Base Account is deleted and moved to Trash</t>
  </si>
  <si>
    <t>test_deleteAccountFunction</t>
  </si>
  <si>
    <t>Verify Trash of Base Management</t>
  </si>
  <si>
    <t>1. Launch JioSignage  Sign In Page : https://digitalsignage.jio.com/users/sign_in . 
2. Login with valid credentials.
3. Click User Access &gt; Base Management
4. Click vertical 3 dots on Base Account
5. Select Delete
6. Goto Trash</t>
  </si>
  <si>
    <t>1. Verify Back To Base Management tab is available for selection &amp; after clicking it redirects to Base Management home page
2. Verify deleted Base Account is 
searchable in Trash &amp; can be restore to Base Management Page</t>
  </si>
  <si>
    <t>test_deleteAccountFunction_restoreFromTrashPage</t>
  </si>
  <si>
    <t>Role Management</t>
  </si>
  <si>
    <t>Verify UI/UX of Role Management page</t>
  </si>
  <si>
    <t>1. Launch JioSignage  Sign In Page : https://digitalsignage.jio.com/users/sign_in . 
2. Login with valid credentials.
3. Click User Access &gt; Role Management
4. Observe Role Management page</t>
  </si>
  <si>
    <t>1. Verify "Add, Delete and Modify Role" text is displayed 
2. Verify Search box &amp; +Add New Role are available
3. Verify table with columns: Name, Permissions, Users &amp; Action are available</t>
  </si>
  <si>
    <t>test_verifyRoleMgt_UIUX</t>
  </si>
  <si>
    <t>Verify Add New Role functionality without any permission</t>
  </si>
  <si>
    <t>1. Launch JioSignage  Sign In Page : https://digitalsignage.jio.com/users/sign_in . 
2. Login with valid credentials.
3. Click User Access &gt; Role Management
4. Select '+Add New Role'
5. Provide Name on Add New Role Page
6. Observe</t>
  </si>
  <si>
    <t>Verify New Role added under Role Management</t>
  </si>
  <si>
    <t>test_addNewRole_WithoutAnyPermission</t>
  </si>
  <si>
    <t>Verify Added/Existing Role available for 
selection under User Management</t>
  </si>
  <si>
    <t>1. Launch JioSignage  Sign In Page : https://digitalsignage.jio.com/users/sign_in . 
2. Login with valid credentials.
3. Click User Access &gt; Role Management
4. Select '+Add New Role'
5. Provide Name on Add New Role Page &amp; give required permissions
6. Now, Click User Access &gt; User Management
7. Click Add New Role
8. Select Custom Role on Add User Account Page
9. Observe</t>
  </si>
  <si>
    <t>Verify newly added &amp; existing Roles 
of Role Management are available 
for selection in Role on Add New 
User page</t>
  </si>
  <si>
    <t>test_Role_available_for_selection_under_User_Management</t>
  </si>
  <si>
    <t>Verify name is selectable &amp; editable</t>
  </si>
  <si>
    <t>1. Launch JioSignage  Sign In Page : https://digitalsignage.jio.com/users/sign_in . 
2. Login with valid credentials.
3. Click User Access &gt; Role Management
4. Select existing user on Role Management page
5. Modify Name</t>
  </si>
  <si>
    <t xml:space="preserve">Verify user able to modify Role name
Verify login with created account &amp; check role worked as per behavior </t>
  </si>
  <si>
    <t>test_editRoleName</t>
  </si>
  <si>
    <t>Verify Permissions can be changed/modified 
against Role Name</t>
  </si>
  <si>
    <t>1. Launch JioSignage  Sign In Page : https://digitalsignage.jio.com/users/sign_in . 
2. Login with valid credentials.
3. Click User Access &gt; Role Management
4. Select existing user on Role Management page
5. Modify Permissions</t>
  </si>
  <si>
    <t xml:space="preserve">Verify User is able to modify Permissions
Verify login with created account &amp; check role worked as per behavior </t>
  </si>
  <si>
    <t>test_editPermissions</t>
  </si>
  <si>
    <t xml:space="preserve">1. Launch JioSignage  Sign In Page : https://digitalsignage.jio.com/users/sign_in . 
2. Login with valid credentials.
3. Click User Access &gt; Role Management
4. Click Search box icon on upper left
5. Enter text </t>
  </si>
  <si>
    <t xml:space="preserve">Verify User is searchable by Name, Permissions &amp; User
Verify login with created account &amp; check role worked as per behavior </t>
  </si>
  <si>
    <t>test_Search_ByNamePermissionUser</t>
  </si>
  <si>
    <t>1. Launch JioSignage  Sign In Page : https://digitalsignage.jio.com/users/sign_in . 
2. Login with valid credentials.
3. Click User Access &gt; Role Management
4. Click Search box icon
5. Enter Name in Name Search box</t>
  </si>
  <si>
    <t>Verify login with created account &amp; check role worked as per behavior &amp;
Verify Role is searchable by Name</t>
  </si>
  <si>
    <t>test_Search_ByName</t>
  </si>
  <si>
    <t>1. Launch JioSignage  Sign In Page : https://digitalsignage.jio.com/users/sign_in . 
2. Login with valid credentials.
3. Click User Access &gt; Role Management
4. Click Search box icon
5. Enter Permissions in Permission Search box</t>
  </si>
  <si>
    <t>Verify login with created account &amp; check role worked as per behavior &amp;
Verify Role is searchable by Permissions</t>
  </si>
  <si>
    <t>test_Search_ByPermissions</t>
  </si>
  <si>
    <t>Verify User Search Functionality</t>
  </si>
  <si>
    <t>1. Launch JioSignage  Sign In Page : https://digitalsignage.jio.com/users/sign_in . 
2. Login with valid credentials.
3. Click User Access &gt; Role Management
4. Click Search box icon
5. Enter Users</t>
  </si>
  <si>
    <t>Verify login with created account &amp; check role worked as per behavior &amp;
Verify Role is searchable by Users</t>
  </si>
  <si>
    <t>test_Search_ByUser1</t>
  </si>
  <si>
    <t>1. Launch JioSignage  Sign In Page : https://digitalsignage.jio.com/users/sign_in . 
2. Login with valid credentials.
3. Click User Access &gt; Role Management
4. Click on Sort By up &amp; down arrow Role
5. Observe</t>
  </si>
  <si>
    <t>Verify User is able to SORT the list by Name of the Role</t>
  </si>
  <si>
    <t>test_RoleMgt_sort_byName</t>
  </si>
  <si>
    <t>1. Launch JioSignage  Sign In Page : https://digitalsignage.jio.com/users/sign_in . 
2. Login with valid credentials.
3. Click User Access &gt; Role Management
4. Click on Sort By up &amp; down arrow against Permission
5. Observe</t>
  </si>
  <si>
    <t>Verify login with created account &amp; check role worked as per behavior &amp;
Verify User is able to SORT the list by Permission</t>
  </si>
  <si>
    <t>test_RoleMgt_sort_byPermission</t>
  </si>
  <si>
    <t>Verify SORT By User Functionality</t>
  </si>
  <si>
    <t>1. Launch JioSignage  Sign In Page : https://digitalsignage.jio.com/users/sign_in . 
2. Login with valid credentials.
3. Click User Access &gt; Role Management
4. Click on Sort By up &amp; down arrow against Activation Status
5. Observe</t>
  </si>
  <si>
    <t>Verify login with created account &amp; check role worked as per behavior &amp;
Verify User is able to SORT the list by number of users in User column</t>
  </si>
  <si>
    <t>test_RoleMgt_sort_byUser</t>
  </si>
  <si>
    <t>Verify Role deletion functionality</t>
  </si>
  <si>
    <t xml:space="preserve">1. Launch JioSignage  Sign In Page : https://digitalsignage.jio.com/users/sign_in . 
2. Login with valid credentials.
3. Click User Access &gt; Role Management
4. Click on Delete icon against Role
5. Under Action delete Role </t>
  </si>
  <si>
    <t>Verify login with created account &amp; check role worked as per behavior
1. Verify User able to delete Role
2. Unable to select deleted role during User Creation against Custom Role</t>
  </si>
  <si>
    <t>test_deleteRoleFunction</t>
  </si>
  <si>
    <t>1. Launch JioSignage  Sign In Page : https://digitalsignage.jio.com/users/sign_in . 
2. Login with valid credentials.
3.Click User Access &gt; Role Management
4. Observe entries list</t>
  </si>
  <si>
    <t xml:space="preserve">
Verify login with created account &amp; check role worked as per behavior
1. Verify 20, 50, 100, 200, 500 entries are available for selection
2. Verify number of entries displayed based on Show Entries selected on the page</t>
  </si>
  <si>
    <t>test_20_50_100_200_500_entries_RoleMGT_Page</t>
  </si>
  <si>
    <t>Verify "Users" under Permissions while 
add/modify role under Role Management</t>
  </si>
  <si>
    <t>1. Launch JioSignage  Sign In Page : https://digitalsignage.jio.com/users/sign_in . 
2. Login with valid credentials.
3. Click User Access &gt; Role Management
4. Select '+Add New Role' or from Existing Role without permissions
5. Provide (can edit for existing user) Name on Add New Role Page &amp; check "User" under permissions</t>
  </si>
  <si>
    <t>Verify login with created account &amp; check role worked as per behavior
1. Verify Users option is enabled &amp; checkable
2. Verify on selecting Users, all available options under users get selected
3. Verify on deselecting Users option, availed options under Users gets deselected</t>
  </si>
  <si>
    <t>test_userCheckbox_Checked_Unchecked</t>
  </si>
  <si>
    <t>Verify 'View User' under Users on Assign Permissions page for add/modify Role</t>
  </si>
  <si>
    <t>1. Launch JioSignage  Sign In Page : https://digitalsignage.jio.com/users/sign_in . 
2. Login with valid credentials.
3. Click User Access &gt; Role Management
4. Select '+Add New Role' or from Existing Role without permissions
5. Provide (can edit for existing user) Name on Add New Role Page &amp; check "View User" under permissions</t>
  </si>
  <si>
    <t>Verify login with created account &amp; check role worked as per behavior
1. Verify View User option is enabled &amp; checkable
2. Verify Role created/modified with 'View User'</t>
  </si>
  <si>
    <t>test_userCheckbox_ViewUser</t>
  </si>
  <si>
    <t>Verify 'Create/Edit User' under Users on Assign Permissions page for add/modify Role</t>
  </si>
  <si>
    <t>1. Launch JioSignage  Sign In Page : https://digitalsignage.jio.com/users/sign_in . 
2. Login with valid credentials.
3. Click User Access &gt; Role Management
4. Select '+Add New Role' or from Existing Role without permissions
5. Provide (can edit for existing user) Name on Add New Role Page &amp; check "Create/Edit User" under permissions</t>
  </si>
  <si>
    <t>Verify login with created account &amp; check role worked as per behavior
1. Verify Create/Edit User option is enabled &amp; checkable
2. Verify Role created/modified with 'Create/Edit User'</t>
  </si>
  <si>
    <t>test_userCheckbox_CreateEditUser</t>
  </si>
  <si>
    <t>Verify 'Edit/Update User' under Users on Assign Permissions page for add/modify Role</t>
  </si>
  <si>
    <t>1. Launch JioSignage  Sign In Page : https://digitalsignage.jio.com/users/sign_in . 
2. Login with valid credentials.
3. Click User Access &gt; Role Management
4. Select '+Add New Role' or from Existing Role without permissions
5. Provide (can edit for existing user) Name on Add New Role Page &amp; check "Edit/Update User" under permissions</t>
  </si>
  <si>
    <t>Verify login with created account &amp; check role worked as per behavior 
1. Verify Edit/Update User option is enabled &amp; checkable
2. Verify Role created/modified with 'Edit/Update User'</t>
  </si>
  <si>
    <t>test_userCheckbox_EditUpdateUser</t>
  </si>
  <si>
    <t>Verify 'Delete User' under Users on Assign Permissions page for add/modify Role</t>
  </si>
  <si>
    <t>1. Launch JioSignage  Sign In Page : https://digitalsignage.jio.com/users/sign_in . 
2. Login with valid credentials.
3. Click User Access &gt; Role Management
4. Select '+Add New Role' or from Existing Role without permissions
5. Provide (can edit for existing user) Name on Add New Role Page &amp; check "Delete User" under permissions</t>
  </si>
  <si>
    <t>Verify login with created account &amp; check role worked as per behavior 
1. Verify Delete User option is enabled &amp; checkable
2. Verify Role created/modified with 'Delete User'</t>
  </si>
  <si>
    <t>test_userCheckbox_DeleteUser</t>
  </si>
  <si>
    <t>Verify 'Enable/Disable User' under Users on Assign Permissions page for add/modify Role</t>
  </si>
  <si>
    <t>1. Launch JioSignage  Sign In Page : https://digitalsignage.jio.com/users/sign_in . 
2. Login with valid credentials.
3. Click User Access &gt; Role Management
4. Select '+Add New Role' or from Existing Role without permissions
5. Provide (can edit for existing user) Name on Add New Role Page &amp; check "Enable/Disable User" under permissions</t>
  </si>
  <si>
    <t>Verify login with created account &amp; check role worked as per behavior 
1. Verify Enable/Disable User option is enabled &amp; checkable
2. Verify Role created/modified with 'Enable/Disable User</t>
  </si>
  <si>
    <t>test_userCheckbox_EnableDisableUser</t>
  </si>
  <si>
    <t>Verify "Material" under Permissions while 
add/modify role under Role Management</t>
  </si>
  <si>
    <t>1. Launch JioSignage  Sign In Page : https://digitalsignage.jio.com/users/sign_in . 
2. Login with valid credentials.
3. Click User Access &gt; Role Management
4. Select '+Add New Role' or from Existing Role without permissions
5. Provide (can edit for existing user) Name on Add New Role Page &amp; check "Material" under permissions</t>
  </si>
  <si>
    <t>Verify login with created account &amp; check role worked as per behavior 
1. Verify Material option is enabled &amp; checkable
2. Verify on selecting Material, all available options under Material get selected
3. Verify on deselecting Material option, availed options under Material gets deselected</t>
  </si>
  <si>
    <t>test_materialCheckbox_Checked_Unchecked</t>
  </si>
  <si>
    <t>Verify 'View Materials' under Material on Assign Permissions page for add/modify Role</t>
  </si>
  <si>
    <t>1. Launch JioSignage  Sign In Page : https://digitalsignage.jio.com/users/sign_in . 
2. Login with valid credentials.
3. Click User Access &gt; Role Management
4. Select '+Add New Role' or from Existing Role without permissions
5. Provide (can edit for existing user) Name on Add New Role Page &amp; check "View Materials" under permissions</t>
  </si>
  <si>
    <t>Verify login with created account &amp; check role worked as per behavior 
1. Verify View Materials option is enabled &amp; checkable
2. Verify Role created/modified with 'View Materials' access</t>
  </si>
  <si>
    <t>test_materialCheckbox_ViewMaterials</t>
  </si>
  <si>
    <t>Verify 'Upload/Create/Edit Material' under Material on Assign Permissions page for add/modify Role</t>
  </si>
  <si>
    <t>1. Launch JioSignage  Sign In Page : https://digitalsignage.jio.com/users/sign_in . 
2. Login with valid credentials.
3. Click User Access &gt; Role Management
4. Select '+Add New Role' or from Existing Role without permissions
5. Provide (can edit for existing user) Name on Add New Role Page &amp; check "Upload/Create/Edit Material" under permissions</t>
  </si>
  <si>
    <t>Verify login with created account &amp; check role worked as per behavior
1. Verify Upload/Create/Edit Material option is enabled &amp; checkable
2. Verify Role created/modified with 'Upload/Create/Edit Material' access</t>
  </si>
  <si>
    <t>test_materialCheckbox_Upload_Create_Edit_Material</t>
  </si>
  <si>
    <t>Verify 'Move Material/Copy to Shared' under Material on Assign Permissions page for add/modify Role</t>
  </si>
  <si>
    <t>1. Launch JioSignage  Sign In Page : https://digitalsignage.jio.com/users/sign_in . 
2. Login with valid credentials.
3. Click User Access &gt; Role Management
4. Select '+Add New Role' or from Existing Role without permissions
5. Provide (can edit for existing user) Name on Add New Role Page &amp; check "Move Material/Copy to Shared" under permissions</t>
  </si>
  <si>
    <t>Verify login with created account &amp; check role worked as per behavior
1. Verify Move Material/Copy to Shared option is enabled &amp; checkable
2. Verify Role created/modified with 'Move Material/Copy to Shared' access</t>
  </si>
  <si>
    <t>test_materialCheckbox_Move_Material_Copy_To_Shared</t>
  </si>
  <si>
    <t>Verify 'Move to Trash' under Material on Assign Permissions page for add/modify Role</t>
  </si>
  <si>
    <t>1. Launch JioSignage  Sign In Page : https://digitalsignage.jio.com/users/sign_in . 
2. Login with valid credentials.
3. Click User Access &gt; Role Management
4. Select '+Add New Role' or from Existing Role without permissions
5. Provide (can edit for existing user) Name on Add New Role Page &amp; check "Move to Trash" under permissions</t>
  </si>
  <si>
    <t>Verify login with created account &amp; check role worked as per behavior
1. Verify Move to Trash option is enabled &amp; checkable
2. Verify Role created/modified with 'Move to Trash' access</t>
  </si>
  <si>
    <t>test_materialCheckbox_Move_To_Trash</t>
  </si>
  <si>
    <t>Verify 'Restore Material' under Material on Assign Permissions page for add/modify Role</t>
  </si>
  <si>
    <t>1. Launch JioSignage  Sign In Page : https://digitalsignage.jio.com/users/sign_in . 
2. Login with valid credentials.
3. Click User Access &gt; Role Management
4. Select '+Add New Role' or from Existing Role without permissions
5. Provide (can edit for existing user) Name on Add New Role Page &amp; check "Restore Material" under permissions</t>
  </si>
  <si>
    <t>Verify login with created account &amp; check role worked as per behavior
1. Verify Restore Material option is enabled &amp; checkable
2. Verify Role created/modified with 'Restore Material' access</t>
  </si>
  <si>
    <t>test_materialCheckbox_Restore_Material</t>
  </si>
  <si>
    <t>Verify 'Delete Completely' under Material on Assign Permissions page for add/modify Role</t>
  </si>
  <si>
    <t>1. Launch JioSignage  Sign In Page : https://digitalsignage.jio.com/users/sign_in . 
2. Login with valid credentials.
3. Click User Access &gt; Role Management
4. Select '+Add New Role' or from Existing Role without permissions
5. Provide (can edit for existing user) Name on Add New Role Page &amp; check "Delete Completely" under permissions</t>
  </si>
  <si>
    <t>Verify login with created account &amp; check role worked as per behavior
1. Verify Delete Completely option is enabled &amp; checkable
2. Verify Role created/modified with 'Delete Completely' access</t>
  </si>
  <si>
    <t>test_materialCheckbox_Delete_Completely</t>
  </si>
  <si>
    <t>Verify "Content" under Permissions while 
add/modify role under Role Management</t>
  </si>
  <si>
    <t>1. Launch JioSignage  Sign In Page : https://digitalsignage.jio.com/users/sign_in . 
2. Login with valid credentials.
3. Click User Access &gt; Role Management
4. Select '+Add New Role' or from Existing Role without permissions
5. Provide (can edit for existing user) Name on Add New Role Page &amp; check "Content" under permissions</t>
  </si>
  <si>
    <t>Verify login with created account &amp; check role worked as per behavior 
1. Verify Content option is enabled &amp; checkable
2. Verify on selecting Content, all available options under Content get selected
3. Verify on deselecting Content option, availed options under Content gets deselected</t>
  </si>
  <si>
    <t>test_contentCheckbox_Checked_Unchecked</t>
  </si>
  <si>
    <t>Verify 'View Content' under Content on Assign Permissions page for add/modify Role</t>
  </si>
  <si>
    <t>1. Launch JioSignage  Sign In Page : https://digitalsignage.jio.com/users/sign_in . 
2. Login with valid credentials.
3. Click User Access &gt; Role Management
4. Select '+Add New Role' or from Existing Role without permissions
5. Provide (can edit for existing user) Name on Add New Role Page &amp; check "View Content" under permissions</t>
  </si>
  <si>
    <t>Verify login with created account &amp; check role worked as per behavior 
1. Verify View Content option is enabled &amp; checkable
2. Verify Role created/modified with 'View Content' access</t>
  </si>
  <si>
    <t>test_contentCheckbox_View_Content</t>
  </si>
  <si>
    <t>Verify 'Create/Edit Content' under Content on Assign Permissions page for add/modify Role</t>
  </si>
  <si>
    <t>1. Launch JioSignage  Sign In Page : https://digitalsignage.jio.com/users/sign_in . 
2. Login with valid credentials.
3. Click User Access &gt; Role Management
4. Select '+Add New Role' or from Existing Role without permissions
5. Provide (can edit for existing user) Name on Add New Role Page &amp; check "Create/Edit Content" under permissions</t>
  </si>
  <si>
    <t xml:space="preserve">Verify login with created account &amp; check role worked as per behavior
1. Verify Create/Edit Content option is enabled &amp; checkable
2. Verify Role created/modified with 'Create/Edit Content' access
Verify login with created account &amp; check role worked as per behavior </t>
  </si>
  <si>
    <t>test_contentCheckbox_Create_Edit_Content</t>
  </si>
  <si>
    <t>Verify 'Move Content/Copy to Shared' under Content on Assign Permissions page for add/modify Role</t>
  </si>
  <si>
    <t>1. Launch JioSignage  Sign In Page : https://digitalsignage.jio.com/users/sign_in . 
2. Login with valid credentials.
3. Click User Access &gt; Role Management
4. Select '+Add New Role' or from Existing Role without permissions
5. Provide (can edit for existing user) Name on Add New Role Page &amp; check "Move Content/Copy to Shared" under permissions</t>
  </si>
  <si>
    <t>Verify login with created account &amp; check role worked as per behavior
1. Verify Move Content/Copy to Shared option is enabled &amp; checkable
2. Verify Role created/modified with 'Move Content/Copy to Shared' access</t>
  </si>
  <si>
    <t>test_contentCheckbox_MoveContentCopyToShared</t>
  </si>
  <si>
    <t>Verify 'Move to Trash' under Content on Assign Permissions page for add/modify Role</t>
  </si>
  <si>
    <t>test_contentCheckbox_MoveToTrash</t>
  </si>
  <si>
    <t>Verify 'Restore Content' under Content on Assign Permissions page for add/modify Role</t>
  </si>
  <si>
    <t>1. Launch JioSignage  Sign In Page : https://digitalsignage.jio.com/users/sign_in . 
2. Login with valid credentials.
3. Click User Access &gt; Role Management
4. Select '+Add New Role' or from Existing Role without permissions
5. Provide (can edit for existing user) Name on Add New Role Page &amp; check "Restore Content" under permissions</t>
  </si>
  <si>
    <t>Verify login with created account &amp; check role worked as per behavior
1. Verify Restore Content option is enabled &amp; checkable
2. Verify Role created/modified with 'Restore Content' access</t>
  </si>
  <si>
    <t>test_contentCheckbox_RestoreContent</t>
  </si>
  <si>
    <t>Verify 'Delete Completely' under Content on Assign Permissions page for add/modify Role</t>
  </si>
  <si>
    <t>Verify login with created account &amp; check role worked as per behavior 
1. Verify Delete Completely Content option is enabled &amp; checkable
2. Verify Role created/modified with 'Delete Completely' in Content under access permissions</t>
  </si>
  <si>
    <t>test_contentCheckbox_DeleteCompletely</t>
  </si>
  <si>
    <t>Verify "Playlist" under Permissions while 
add/modify role under Role Management</t>
  </si>
  <si>
    <t>1. Launch JioSignage  Sign In Page : https://digitalsignage.jio.com/users/sign_in . 
2. Login with valid credentials.
3. Click User Access &gt; Role Management
4. Select '+Add New Role' or from Existing Role without permissions
5. Provide (can edit for existing user) Name on Add New Role Page &amp; check "Playlist" under permissions</t>
  </si>
  <si>
    <t>Verify login with created account &amp; check role worked as per behavior 
1. Verify Playlist option is enabled &amp; checkable
2. Verify on selecting Playlist, all available options under Playlist get selected
3. Verify on deselecting Playlist option, availed options under Playlist gets deselected</t>
  </si>
  <si>
    <t>test_playlistCheckbox_Checked_Unchecked</t>
  </si>
  <si>
    <t>Verify 'View Playlist' under Playlist on Assign Permissions page for add/modify Role</t>
  </si>
  <si>
    <t>1. Launch JioSignage  Sign In Page : https://digitalsignage.jio.com/users/sign_in . 
2. Login with valid credentials.
3. Click User Access &gt; Role Management
4. Select '+Add New Role' or from Existing Role without permissions
5. Provide (can edit for existing user) Name on Add New Role Page &amp; check "View Playlist" under permissions</t>
  </si>
  <si>
    <t>Verify login with created account &amp; check role worked as per behavior
1. Verify View Playlist option is enabled &amp; checkable
2. Verify Role created/modified with 'View Playlist' in Playlist under access permissions</t>
  </si>
  <si>
    <t>test_playlistCheckbox_View_Playlist</t>
  </si>
  <si>
    <t>Verify 'Create/Edit Playlist' under Playlist on Assign Permissions page for add/modify Role</t>
  </si>
  <si>
    <t>1. Launch JioSignage  Sign In Page : https://digitalsignage.jio.com/users/sign_in . 
2. Login with valid credentials.
3. Click User Access &gt; Role Management
4. Select '+Add New Role' or from Existing Role without permissions
5. Provide (can edit for existing user) Name on Add New Role Page &amp; check "Create/Edit Playlist" under permissions</t>
  </si>
  <si>
    <t>Verify login with created account &amp; check role worked as per behavior
1. Verify Create/Edit Playlist option is enabled &amp; checkable
2. Verify Role created/modified with 'Create/Edit Playlist' in Playlist under access permissions</t>
  </si>
  <si>
    <t>test_playlistCheckbox_Create_Edit_Playlist</t>
  </si>
  <si>
    <t>Verify 'Move Playlist' under Playlist on Assign Permissions page for add/modify Role</t>
  </si>
  <si>
    <t>1. Launch JioSignage  Sign In Page : https://digitalsignage.jio.com/users/sign_in . 
2. Login with valid credentials.
3. Click User Access &gt; Role Management
4. Select '+Add New Role' or from Existing Role without permissions
5. Provide (can edit for existing user) Name on Add New Role Page &amp; check "Move Playlist" under permissions</t>
  </si>
  <si>
    <t>Verify login with created account &amp; check role worked as per behavior
1. Verify Move Playlist option is enabled &amp; checkable
2. Verify Role created/modified with 'Move Playlist' in Playlist under access permissions</t>
  </si>
  <si>
    <t>test_playlistCheckbox_MovePlaylist</t>
  </si>
  <si>
    <t>Verify 'Move to Trash' under Playlist on Assign Permissions page for add/modify Role</t>
  </si>
  <si>
    <t>Verify login with created account &amp; check role worked as per behavior
1. Verify Move to Trash option is enabled &amp; checkable
2. Verify Role created/modified with 'Move to Trash' in Playlist under access permissions</t>
  </si>
  <si>
    <t>test_playlistCheckbox_MoveToTrash</t>
  </si>
  <si>
    <t>Verify 'Restore Playlist' under Playlist on Assign Permissions page for add/modify Role</t>
  </si>
  <si>
    <t>1. Launch JioSignage  Sign In Page : https://digitalsignage.jio.com/users/sign_in . 
2. Login with valid credentials.
3. Click User Access &gt; Role Management
4. Select '+Add New Role' or from Existing Role without permissions
5. Provide (can edit for existing user) Name on Add New Role Page &amp; check "Restore Playlist" under permissions</t>
  </si>
  <si>
    <t>Verify login with created account &amp; check role worked as per behavior
1. Verify Restore Playlist option is enabled &amp; checkable
2. Verify Role created/modified with 'Restore Playlist' in Playlist under access permissions</t>
  </si>
  <si>
    <t>test_playlistCheckbox_RestorePlaylist</t>
  </si>
  <si>
    <t>Verify 'Delete Completely' under Playlist on Assign Permissions page for add/modify Role</t>
  </si>
  <si>
    <t>Verify login with created account &amp; check role worked as per behavior
1. Verify Delete Completely option is enabled &amp; checkable
2. Verify Role created/modified with 'Delete Completely' in Playlist under access permissions</t>
  </si>
  <si>
    <t>test_playlistCheckbox_DeleteCompletely</t>
  </si>
  <si>
    <t>Verify "Schedule" under Permissions while 
add/modify role under Role Management</t>
  </si>
  <si>
    <t>1. Launch JioSignage  Sign In Page : https://digitalsignage.jio.com/users/sign_in . 
2. Login with valid credentials.
3. Click User Access &gt; Role Management
4. Select '+Add New Role' or from Existing Role without permissions
5. Provide (can edit for existing user) Name on Add New Role Page &amp; check "Schedule" under permissions</t>
  </si>
  <si>
    <t>Verify login with created account &amp; check role worked as per behavior
1. Verify Schedule option is enabled &amp; checkable
2. Verify on selecting Schedule, all available options under Schedule get selected
3. Verify on deselecting Schedule option, availed options under Schedule gets deselected</t>
  </si>
  <si>
    <t>test_scheduleCheckbox_Checked_Unchecked</t>
  </si>
  <si>
    <t>Verify 'View Schedule' under Schedule on Assign Permissions page for add/modify Role</t>
  </si>
  <si>
    <t>1. Launch JioSignage  Sign In Page : https://digitalsignage.jio.com/users/sign_in . 
2. Login with valid credentials.
3. Click User Access &gt; Role Management
4. Select '+Add New Role' or from Existing Role without permissions
5. Provide (can edit for existing user) Name on Add New Role Page &amp; check "View Schedule" under permissions</t>
  </si>
  <si>
    <t>Verify login with created account &amp; check role worked as per behavior
1. Verify View Schedule option is enabled &amp; checkable
2. Verify Role created/modified with 'View Schedule' in Schedule under access permissions</t>
  </si>
  <si>
    <t>test_scheduleCheckbox_View_Schedule</t>
  </si>
  <si>
    <t>Verify 'Create/Edit Schedule' under Schedule on Assign Permissions page for add/modify Role</t>
  </si>
  <si>
    <t>1. Launch JioSignage  Sign In Page : https://digitalsignage.jio.com/users/sign_in . 
2. Login with valid credentials.
3. Click User Access &gt; Role Management
4. Select '+Add New Role' or from Existing Role without permissions
5. Provide (can edit for existing user) Name on Add New Role Page &amp; check "Create/Edit Schedule" under permissions</t>
  </si>
  <si>
    <t>Verify login with created account &amp; check role worked as per behavior
1. Verify Create/Edit Schedule option is enabled &amp; checkable
2. Verify Role created/modified with 'Create/Edit Schedule' in Schedule under access permissions</t>
  </si>
  <si>
    <t>test_scheduleCheckbox_Create_Edit_Schedule</t>
  </si>
  <si>
    <t>Verify 'Move Schedule' under Schedule on Assign Permissions page for add/modify Role</t>
  </si>
  <si>
    <t>1. Launch JioSignage  Sign In Page : https://digitalsignage.jio.com/users/sign_in . 
2. Login with valid credentials.
3. Click User Access &gt; Role Management
4. Select '+Add New Role' or from Existing Role without permissions
5. Provide (can edit for existing user) Name on Add New Role Page &amp; check "Move Schedule" under permissions</t>
  </si>
  <si>
    <t>1. Verify Move Schedule option is enabled &amp; checkable
2. Verify Role created/modified with 'Move Schedule' in Schedule under access permissions</t>
  </si>
  <si>
    <t>test_scheduleCheckbox_MoveSchedule</t>
  </si>
  <si>
    <t>Verify 'Move to Trash' under Schedule on Assign Permissions page for add/modify Role</t>
  </si>
  <si>
    <t xml:space="preserve">1.Verify Move to Trash option is enabled &amp; checkable
2. Verify Role created/modified with 'Move to Trash' in Schedule under access permissions
Verify login with created account &amp; check role worked as per behavior </t>
  </si>
  <si>
    <t>test_scheduleCheckbox_MoveToTrash</t>
  </si>
  <si>
    <t>Verify 'Restore Schedule' under Schedule on Assign Permissions page for add/modify Role</t>
  </si>
  <si>
    <t>1. Launch JioSignage  Sign In Page : https://digitalsignage.jio.com/users/sign_in . 
2. Login with valid credentials.
3. Click User Access &gt; Role Management
4. Select '+Add New Role' or from Existing Role without permissions
5. Provide (can edit for existing user) Name on Add New Role Page &amp; check "Restore Schedule" under permissions</t>
  </si>
  <si>
    <t xml:space="preserve">Verify login with created account &amp; check role worked as per behavior 
1. Verify Restore Schedule option is enabled &amp; checkable
2. Verify Role created/modified with 'Restore Schedule' in Schedule under access permissions
</t>
  </si>
  <si>
    <t>test_scheduleCheckbox_RestoreSchedule</t>
  </si>
  <si>
    <t>Verify 'Delete Completely' under Schedule on Assign Permissions page for add/modify Role</t>
  </si>
  <si>
    <t>Verify login with created account &amp; check role worked as per behavior
1. Verify Delete Completely option is enabled &amp; checkable
2. Verify Role created/modified with 'Delete Completely' in Schedule under access permissions</t>
  </si>
  <si>
    <t>test_scheduleCheckbox_DeleteCompletely</t>
  </si>
  <si>
    <t>Verify "Display and Delivery" under Permissions while add/modify role under Role Management</t>
  </si>
  <si>
    <t>1. Launch JioSignage  Sign In Page : https://digitalsignage.jio.com/users/sign_in . 
2. Login with valid credentials.
3. Click User Access &gt; Role Management
4. Select '+Add New Role' or from Existing Role without permissions
5. Provide (can edit for existing user) Name on Add New Role Page &amp; check "Display and Delivery" under permissions</t>
  </si>
  <si>
    <t xml:space="preserve">Verify login with created account &amp; check role worked as per behavior
1. Verify Display and Delivery option is enabled &amp; checkable
2. Verify on selecting Display and Delivery, all available options under Display and Delivery get selected
3. Verify on deselecting Display and Delivery option, availed options under Display and Delivery gets deselected
 </t>
  </si>
  <si>
    <t>test_DisplayAndDeliveryCheckbox_Checked_Unchecked</t>
  </si>
  <si>
    <t>Verify 'View Display' under Display and Delivery on Assign Permissions page for add/modify Role</t>
  </si>
  <si>
    <t>1. Launch JioSignage  Sign In Page : https://digitalsignage.jio.com/users/sign_in . 
2. Login with valid credentials.
3. Click User Access &gt; Role Management
4. Select '+Add New Role' or from Existing Role without permissions
5. Provide (can edit for existing user) Name on Add New Role Page &amp; check "View Display" under permissions</t>
  </si>
  <si>
    <t>Verify login with created account &amp; check role worked as per behavior
1. Verify View Display option is enabled &amp; checkable
2. Verify Role created/modified with 'View Display' in Display and Delivery under access permissions</t>
  </si>
  <si>
    <t>test_DisplayAndDeliveryCheckbox_View_Display</t>
  </si>
  <si>
    <t>Verify 'Create/Edit Display' under Display and Delivery on Assign Permissions page for add/modify Role</t>
  </si>
  <si>
    <t>1. Launch JioSignage  Sign In Page : https://digitalsignage.jio.com/users/sign_in . 
2. Login with valid credentials.
3. Click User Access &gt; Role Management
4. Select '+Add New Role' or from Existing Role without permissions
5. Provide (can edit for existing user) Name on Add New Role Page &amp; check "Create/Edit Display" under permissions</t>
  </si>
  <si>
    <t>Verify login with created account &amp; check role worked as per behavior
1. Verify Create/Edit Display option is enabled &amp; checkable
2. Verify Role created/modified with 'Create/Edit Display' in Display and Delivery under access permissions</t>
  </si>
  <si>
    <t>test_DisplayAndDeliveryCheckbox_Create_Edit_Display</t>
  </si>
  <si>
    <t>Verify 'Move Display/Assign Schedule' under Display and Delivery on Assign Permissions page for add/modify Role</t>
  </si>
  <si>
    <t>1. Launch JioSignage  Sign In Page : https://digitalsignage.jio.com/users/sign_in . 
2. Login with valid credentials.
3. Click User Access &gt; Role Management
4. Select '+Add New Role' or from Existing Role without permissions
5. Provide (can edit for existing user) Name on Add New Role Page &amp; check "Move Display/Assign Schedule" under permissions</t>
  </si>
  <si>
    <t>Verify login with created account &amp; check role worked as per behavior
1. Verify Move Display/Assign Schedule option is enabled &amp; checkable
2. Verify Role created/modified with 'Move Display/Assign Schedule' in Display and Delivery under access permissions</t>
  </si>
  <si>
    <t>test_DisplayAndDeliveryCheckbox_MoveScheduleAssignSchedule</t>
  </si>
  <si>
    <t>Verify 'Move to Trash' under Display and Delivery on Assign Permissions page for add/modify Role</t>
  </si>
  <si>
    <t>Verify login with created account &amp; check role worked as per behavior
1. Verify Move to Trash option is enabled &amp; checkable
2. Verify Role created/modified with 'Move to Trash' in Display and Delivery under access permissions</t>
  </si>
  <si>
    <t>Verify 'Restore Display' under Display and Delivery on Assign Permissions page for add/modify Role</t>
  </si>
  <si>
    <t>1. Launch JioSignage  Sign In Page : https://digitalsignage.jio.com/users/sign_in . 
2. Login with valid credentials.
3. Click User Access &gt; Role Management
4. Select '+Add New Role' or from Existing Role without permissions
5. Provide (can edit for existing user) Name on Add New Role Page &amp; check "Restore Display" under permissions</t>
  </si>
  <si>
    <t>Verify login with created account &amp; check role worked as per behavior
1. Verify Restore Display option is enabled &amp; checkable
2. Verify Role created/modified with 'Restore Display' in Display and Delivery under access permissions</t>
  </si>
  <si>
    <t>Verify 'Delete Completely' under Display and Delivery on Assign Permissions page for add/modify Role</t>
  </si>
  <si>
    <t>Verify login with created account &amp; check role worked as per behavior
1. Verify Delete Completely option is enabled &amp; checkable
2. Verify Role created/modified with 'Delete Completely' in Display and Delivery under access permissions</t>
  </si>
  <si>
    <t>test_DisplayAndDeliveryCheckbox_DeleteCompletely</t>
  </si>
  <si>
    <t>Verify 'Deliver' under Display and Delivery on Assign Permissions page for add/modify Role</t>
  </si>
  <si>
    <t>1. Launch JioSignage  Sign In Page : https://digitalsignage.jio.com/users/sign_in . 
2. Login with valid credentials.
3. Click User Access &gt; Role Management
4. Select '+Add New Role' or from Existing Role without permissions
5. Provide (can edit for existing user) Name on Add New Role Page &amp; check "Deliver" under permissions</t>
  </si>
  <si>
    <t>Verify login with created account &amp; check role worked as per behavior
1. Verify Deliver option is enabled &amp; checkable
2. Verify Role created/modified with 'Deliver' in Display and Delivery under access permissions</t>
  </si>
  <si>
    <t>test_DisplayAndDeliveryCheckbox_Deliver</t>
  </si>
  <si>
    <t>Verify 'Sync' under Display and Delivery on Assign Permissions page for add/modify Role</t>
  </si>
  <si>
    <t>1. Launch JioSignage  Sign In Page : https://digitalsignage.jio.com/users/sign_in . 
2. Login with valid credentials.
3. Click User Access &gt; Role Management
4. Select '+Add New Role' or from Existing Role without permissions
5. Provide (can edit for existing user) Name on Add New Role Page &amp; check "Sync" under permissions</t>
  </si>
  <si>
    <t>Verify login with created account &amp; check role worked as per behavior
1. Verify Sync option is enabled &amp; checkable
2. Verify Role created/modified with 'Sync' in Display and Delivery under access permissions</t>
  </si>
  <si>
    <t>test_DisplayAndDeliveryCheckbox_Sync</t>
  </si>
  <si>
    <t>Verify 'Reboot' under Display and Delivery on Assign Permissions page for add/modify Role</t>
  </si>
  <si>
    <t>1. Launch JioSignage  Sign In Page : https://digitalsignage.jio.com/users/sign_in . 
2. Login with valid credentials.
3. Click User Access &gt; Role Management
4. Select '+Add New Role' or from Existing Role without permissions
5. Provide (can edit for existing user) Name on Add New Role Page &amp; check "Reboot" under permissions</t>
  </si>
  <si>
    <t>Verify login with created account &amp; check role worked as per behavior
1. Verify Reboot option is enabled &amp; checkable
2. Verify Role created/modified with 'Reboot' in Display and Delivery under access permissions</t>
  </si>
  <si>
    <t>test_DisplayAndDeliveryCheckbox_Reboot</t>
  </si>
  <si>
    <t>Verify "Play log" under Permissions while add/modify role under Role Management</t>
  </si>
  <si>
    <t>1. Launch JioSignage  Sign In Page : https://digitalsignage.jio.com/users/sign_in . 
2. Login with valid credentials.
3. Click User Access &gt; Role Management
4. Select '+Add New Role' or from Existing Role without permissions
5. Provide (can edit for existing user) Name on Add New Role Page &amp; check "Play log" under permissions</t>
  </si>
  <si>
    <t>Verify login with created account &amp; check role worked as per behavior
1. Verify Play log option is enabled &amp; checkable
2. Verify on selecting Play log, all available options under Play log get selected
3. Verify on deselecting Play log option, availed options under Play log gets deselected</t>
  </si>
  <si>
    <t>test_PlayLogCheckbox_Checked_Unchecked</t>
  </si>
  <si>
    <t>Verify 'Generate Played Log Reports' under Play log on Assign Permissions page for add/modify Role</t>
  </si>
  <si>
    <t>1. Launch JioSignage  Sign In Page : https://digitalsignage.jio.com/users/sign_in . 
2. Login with valid credentials.
3. Click User Access &gt; Role Management
4. Select '+Add New Role' or from Existing Role without permissions
5. Provide (can edit for existing user) Name on Add New Role Page &amp; check "Generate Played Log Reports" under permissions</t>
  </si>
  <si>
    <t>Verify login with created account &amp; check role worked as per behavior
1. Verify Generate Played Log Reports option is enabled &amp; checkable
2. Verify Role created/modified with 'Generate Played Log Reports' in Play log under access permissions</t>
  </si>
  <si>
    <t>test_PlayLogCheckbox_Generate_Played_Log_Reports</t>
  </si>
  <si>
    <t>Verify "UserActivityLog" under Permissions while add/modify role under Role Management</t>
  </si>
  <si>
    <t>1. Launch JioSignage  Sign In Page : https://digitalsignage.jio.com/users/sign_in . 
2. Login with valid credentials.
3. Click User Access &gt; Role Management
4. Select '+Add New Role' or from Existing Role without permissions
5. Provide (can edit for existing user) Name on Add New Role Page &amp; check "UserActivityLog" under permissions</t>
  </si>
  <si>
    <t>Verify login with created account &amp; check role worked as per behavior
1. Verify UserActivityLog option is enabled &amp; checkable
2. Verify on selecting UserActivityLog, all available options under UserActivityLog get selected
3. Verify on deselecting UserActivityLog option, availed option under UserActivityLog gets deselected</t>
  </si>
  <si>
    <t>test_UserActivityLogCheckbox_Checked_Unchecked</t>
  </si>
  <si>
    <t>Verify 'Generate User Activity Log Reports' under UserActivityLog on Assign Permissions page for add/modify Role</t>
  </si>
  <si>
    <t>1. Launch JioSignage  Sign In Page : https://digitalsignage.jio.com/users/sign_in . 
2. Login with valid credentials.
3. Click User Access &gt; Role Management
4. Select '+Add New Role' or from Existing Role without permissions
5. Provide (can edit for existing user) Name on Add New Role Page &amp; check "Generate User Activity Log Reports" under permissions</t>
  </si>
  <si>
    <t>Verify login with created account &amp; check role worked as per behavior
1. Verify Generate User Activity Log Reports option is enabled &amp; checkable
2. Verify Role created/modified with 'Generate User Activity Log Reports' in UserActivityLog under access permissions</t>
  </si>
  <si>
    <t>test_UserActivityLogCheckbox_Generate_Played_Log_Reports</t>
  </si>
  <si>
    <t>Verify "Emergency Alert" under Permissions while add/modify role under Role Management</t>
  </si>
  <si>
    <t>1. Launch JioSignage  Sign In Page : https://digitalsignage.jio.com/users/sign_in . 
2. Login with valid credentials.
3. Click User Access &gt; Role Management
4. Select '+Add New Role' or from Existing Role without permissions
5. Provide (can edit for existing user) Name on Add New Role Page &amp; check "Emergency Alert" under permissions</t>
  </si>
  <si>
    <t>Verify login with created account &amp; check role worked as per behavior
1. Verify Emergency Alert option is enabled &amp; checkable
2. Verify on selecting Emergency Alert, all available options under Emergency Alert get selected
3. Verify on deselecting Emergency Alert option, availed option under Emergency Alert gets deselected</t>
  </si>
  <si>
    <t>test_EmergencyAlertCheckbox_Checked_Unchecked</t>
  </si>
  <si>
    <t>Verify 'Emergency alert' under Emergency Alert on Assign Permissions page for add/modify Role</t>
  </si>
  <si>
    <t>1. Launch JioSignage  Sign In Page : https://digitalsignage.jio.com/users/sign_in . 
2. Login with valid credentials.
3. Click User Access &gt; Role Management
4. Select '+Add New Role' or from Existing Role without permissions
5. Provide (can edit for existing user) Name on Add New Role Page &amp; check "Emergency alert" under permissions</t>
  </si>
  <si>
    <t>Verify login with created account &amp; check role worked as per behavior
1. Verify Emergency alert option is enabled &amp; checkable
2. Verify Role created/modified with 'Emergency alert' in Emergency Alert under access permissions</t>
  </si>
  <si>
    <t>test_EmergencyAlertLogCheckbox_Generate_Played_Log_Reports</t>
  </si>
  <si>
    <t>User access</t>
  </si>
  <si>
    <t>Delete User account</t>
  </si>
  <si>
    <t>Verify able to delete the user account</t>
  </si>
  <si>
    <t>1. Launch JioSignage  Sign In Page : https://digitalsignage.jio.com/users/sign_in . 
2. Login with valid credentials.
3.Click User Access &gt; User Management
4. Click on delete icon on any of the existing user account .
5. Click Ok on " Do you want to delete"</t>
  </si>
  <si>
    <t>User account should get deleted</t>
  </si>
  <si>
    <t>test_UM_deleteUser</t>
  </si>
  <si>
    <t>Create Custom User</t>
  </si>
  <si>
    <t>Verify able to create custom user</t>
  </si>
  <si>
    <t>1. Launch JioSignage  Sign In Page : https://digitalsignage.jio.com/users/sign_in . 
2. Login with valid credentials.
3. Click User Access &gt; Role Management
4. Select '+Add New Role'
5. Provide Name on Add New Role Page
6. select any settings like "Media" -&gt; Save
7. Go to Add User account page.
8.Click on Add new user.
9. Select custom role
10 , Provide Name , EMail address ,Phone number and select Custome Role from drop down.
11. Add</t>
  </si>
  <si>
    <t>User should be able to add new custom role.</t>
  </si>
  <si>
    <t>test_UM_createCustomUser</t>
  </si>
  <si>
    <t>Verify UI/UX of Display Status page</t>
  </si>
  <si>
    <t>1. Launch JioSignage  Sign In Page : https://digitalsignage.jio.com/users/sign_in. 
2. Login with valid credentials.
3. Click Display Status tab
4. Observe Display Status page</t>
  </si>
  <si>
    <t>1. Verify under Display Status 'Displays the list of play state/delivery results and starts delivery.' text is displayed
2. Verify Left Navigation displayed in Display Status which can hide/unhide after clicking icon in left before Display Status heading.
3. Verify Search box is available with filter icon &amp; Refresh page icon is available
4. Table with columns All, Display Id, Owner Name, Display Name, Schedule, IP Address, HDMI Status (Cable Status), Last Delivery At, Downloading Status &amp; Current Status are available</t>
  </si>
  <si>
    <t xml:space="preserve">1. Launch JioSignage  Sign In Page : https://digitalsignage.jio.com/users/sign_in . 
2. Login with valid credentials.
3. Click Display Status tab
4. Click Search box icon on upper left
5. Enter text </t>
  </si>
  <si>
    <t>Verify Delivery is searchable by Display Id, Display Name, Schedule,  IP Address &amp; HDMI Status (Cable Status)</t>
  </si>
  <si>
    <t>test_search_byAllScenario</t>
  </si>
  <si>
    <t>Verify Display ID search functionality using the filter option</t>
  </si>
  <si>
    <t>1. Launch JioSignage  Sign In Page : https://digitalsignage.jio.com/users/sign_in . 
2. Login with valid credentials.
3. Click Display Status tab
4. Click on the filter icon to search; it is available on the upper left side.
5. Click Display Id search box
6. Enter text in Display Id search box</t>
  </si>
  <si>
    <t>Verify User is searchable by Display Id</t>
  </si>
  <si>
    <t>test_search_byDisplayID</t>
  </si>
  <si>
    <t>Verify Display Name Search Functionality using the filter option</t>
  </si>
  <si>
    <t>1. Launch JioSignage  Sign In Page : https://digitalsignage.jio.com/users/sign_in . 
2. Login with valid credentials.
3. Click Display Status tab
4. Click on the filter icon to search; it is available on the upper left side.
5. Click Display Name search box
6. Enter text in Display Name search box</t>
  </si>
  <si>
    <t>Verify User is searchable by Display Name</t>
  </si>
  <si>
    <t>test_search_byDisplayName</t>
  </si>
  <si>
    <t>Verify Schedule Search Functionality using the filter option</t>
  </si>
  <si>
    <t>1. Launch JioSignage  Sign In Page : https://digitalsignage.jio.com/users/sign_in . 
2. Login with valid credentials.
3. Click Display Status tab
4. Click on the filter icon to search; it is available on the upper left side.
5. Click Schedule search box
6. Enter text in Schedule search box</t>
  </si>
  <si>
    <t>Verify User is searchable by Schedule</t>
  </si>
  <si>
    <t>test_search_bySchedule</t>
  </si>
  <si>
    <t>Verify IP Address Search Functionality using the filter option</t>
  </si>
  <si>
    <t>1. Launch JioSignage  Sign In Page : https://digitalsignage.jio.com/users/sign_in . 
2. Login with valid credentials.
3. Click Display Status tab
4. Click on the filter icon to search; it is available on the upper left side.
5. Click IP Address search box
6. Enter text in IP Address search box</t>
  </si>
  <si>
    <t>Verify User is searchable by IP Address</t>
  </si>
  <si>
    <t>test_search_byIPAdd</t>
  </si>
  <si>
    <t>Verify HDMI Status (Cable Status) Search Functionality using the filter option</t>
  </si>
  <si>
    <t>1. Launch JioSignage  Sign In Page : https://digitalsignage.jio.com/users/sign_in . 
2. Login with valid credentials.
3. Click Display Status tab
4. Click on the filter icon to search; it is available on the upper left side.
5. Click HDMI Status (Cable Status) search box
6. Enter text in HDMI Status(Cable Status) search box</t>
  </si>
  <si>
    <t>Verify User is searchable by HDMI Status (Cable Status)</t>
  </si>
  <si>
    <t>test_search_byStatusHDMI</t>
  </si>
  <si>
    <t>Verify SORT By Display Id Functionality</t>
  </si>
  <si>
    <t>1. Launch JioSignage  Sign In Page : https://digitalsignage.jio.com/users/sign_in . 
2. Login with valid credentials.
3. Click Display Status tab
4. Click on SORT By up &amp; down arrow against Display Id 
5. Observe</t>
  </si>
  <si>
    <t>Verify User is able to SORT the list by Display Id</t>
  </si>
  <si>
    <t>test_SortbyDisplayID</t>
  </si>
  <si>
    <t>Verify SORT By Display Name Functionality</t>
  </si>
  <si>
    <t>1. Launch JioSignage  Sign In Page : https://digitalsignage.jio.com/users/sign_in . 
2. Login with valid credentials.
3. Click Display Status tab
4. Click on SORT By up &amp; down arrow against Display Name
5. Observe</t>
  </si>
  <si>
    <t>Verify User is able to SORT the list by Display Name</t>
  </si>
  <si>
    <t>test_sortbyDisplayname</t>
  </si>
  <si>
    <t>Verify SORT By Schedule Functionality</t>
  </si>
  <si>
    <t>1. Launch JioSignage  Sign In Page : https://digitalsignage.jio.com/users/sign_in . 
2. Login with valid credentials.
3. Click Display Status tab
4. Click on SORT By up &amp; down arrow against Schedule
5. Observe</t>
  </si>
  <si>
    <t>Verify User is able to SORT the list by Schedule</t>
  </si>
  <si>
    <t>NOT APPLICABLE</t>
  </si>
  <si>
    <t>Verify SORT By IP Address Functionality</t>
  </si>
  <si>
    <t>1. Launch JioSignage  Sign In Page : https://digitalsignage.jio.com/users/sign_in . 
2. Login with valid credentials.
3. Click Display Status tab
4. Click on SORT By up &amp; down arrow against IP Address
5. Observe</t>
  </si>
  <si>
    <t>Verify User is able to SORT the list by IP Address</t>
  </si>
  <si>
    <t>Verify SORT By HDMI Status Functionality</t>
  </si>
  <si>
    <t>1. Launch JioSignage  Sign In Page : https://digitalsignage.jio.com/users/sign_in . 
2. Login with valid credentials.
3. Click Display Status tab
4. Click on SORT By up &amp; down arrow against HDMI Status (Cable Status)
5. Observe</t>
  </si>
  <si>
    <t>Verify User is able to SORT the list by HDMI Status (Cable Status)</t>
  </si>
  <si>
    <t xml:space="preserve">Verify disabled icon enable by selecting 
one or more Delivery checkbox </t>
  </si>
  <si>
    <t>1. Launch JioSignage  Sign In Page : https://digitalsignage.jio.com/users/sign_in . 
2. Login with valid credentials.
3. Click Display Status tab
4. Select one or more delivery checkbox under "All" column
5. Observe</t>
  </si>
  <si>
    <t>Verify Deliver, Sync, Reboot, Get Current Status &amp; Assign Schedule 
icons get enabled</t>
  </si>
  <si>
    <t>test_enableIcon</t>
  </si>
  <si>
    <t>1. Launch JioSignage  Sign In Page : https://digitalsignage.jio.com/users/sign_in . 
2. Login with valid credentials.
3.Click Display Status tab
4. Observe entries list</t>
  </si>
  <si>
    <t>test_20_50_100_200_500_entries_forDeliveryMgt</t>
  </si>
  <si>
    <t xml:space="preserve">Verify disabled Deliver icon enable by selecting one or more Delivery checkbox </t>
  </si>
  <si>
    <t>1. Launch JioSignage  Sign In Page : https://digitalsignage.jio.com/users/sign_in . 
2. Login with valid credentials.
3. Click Display Status tab
4. Select one or more delivery checkbox under "All" column
5. Verify Deliver icon enabled &amp; after clicking "The content will be delivered to selected displays as per schedule. Do you want to continue?" 
6. Click OK to complete the Deliver process</t>
  </si>
  <si>
    <t>1. Verify popup Success message display as "Schedule delivered successfully".
2. Click x icon to close the popup
3. Current selected assigned will be delivered and user will see pop up "The content will be delivered to selected displays as per schedule. Do you want to continue?"</t>
  </si>
  <si>
    <t>test_DeliverEnabled</t>
  </si>
  <si>
    <t xml:space="preserve">Verify disabled Sync icon enable by selecting one or more Delivery checkbox </t>
  </si>
  <si>
    <t>1. Launch JioSignage  Sign In Page : https://digitalsignage.jio.com/users/sign_in . 
2. Login with valid credentials.
3. Click Display Status tab
4. Select one or more delivery checkbox under "All" column
5. Verify Sync icon enabled &amp; after clicking "The content will be synced to selected displays as per schedule. Do you want to continue?" 
6. Click OK to complete the Sync process</t>
  </si>
  <si>
    <t>1. Verify popup Success message display as "Display Sync successfully".
2. Click x icon to close the popup
3. Edited schedule will resynced with this button &amp; user will get pop-up "The content will be synced to selected displays as per schedule. Do you want to continue?" when click on this button</t>
  </si>
  <si>
    <t>test_SyncEnabled</t>
  </si>
  <si>
    <t xml:space="preserve">Verify disabled Reboot icon enable by selecting one or more Delivery checkbox </t>
  </si>
  <si>
    <t>1. Launch JioSignage  Sign In Page : https://digitalsignage.jio.com/users/sign_in . 
2. Login with valid credentials.
3. Click Display Status tab
4. Select one or more delivery checkbox under "All" column
5. Verify Reboot icon enabled &amp; after clicking "The selected displays will be rebooted. Do you want to continue?" 
6. Click OK to complete the Reboot process</t>
  </si>
  <si>
    <t>1. Verify popup Success message display as "Display Reboot successfully".
2. Click x icon to close the popup</t>
  </si>
  <si>
    <t>test_rebootenabled</t>
  </si>
  <si>
    <t xml:space="preserve">Verify disabled Get Current Status icon enable by selecting one or more Delivery checkbox </t>
  </si>
  <si>
    <t>1. Launch JioSignage  Sign In Page : https://digitalsignage.jio.com/users/sign_in . 
2. Login with valid credentials.
3. Click Display Status tab
4. Select one or more delivery checkbox under "All" column
5. Verify Get Current Status icon enabled then click it.</t>
  </si>
  <si>
    <t>Verify Current Status of delivery get displayed under Current Status column</t>
  </si>
  <si>
    <t>Verify disabled Assign Schedule icon enable by selecting one or more Delivery checkbox and Assign Schedule by Deliver Now</t>
  </si>
  <si>
    <t>1. Launch JioSignage  Sign In Page : https://digitalsignage.jio.com/users/sign_in . 
2. Login with valid credentials.
3. Click Display Status tab
4. Select one or more delivery checkbox under "All" column
5. Verify Assign Schedule icon enabled then click it.
6. Assign Schedule popup appears to select Schedule from dropdown
7. Select Deliver Now, click Deliver</t>
  </si>
  <si>
    <t>Verify Schedule Name displayed against the checked Delivery</t>
  </si>
  <si>
    <t>test_checkscheduledeliver</t>
  </si>
  <si>
    <t>Verify disabled Assign Schedule icon enable by selecting one or more Delivery checkbox and Assign Schedule by Deliver Later</t>
  </si>
  <si>
    <t>1. Launch JioSignage  Sign In Page : https://digitalsignage.jio.com/users/sign_in . 
2. Login with valid credentials.
3. Click Display Status tab
4. Select one or more delivery checkbox under "All" column
5. Verify Assign Schedule icon enabled then click it.
6. Assign Schedule popup appears to select Schedule from dropdown
7. Select Schedule, Deliver Later &amp; Deliver Date &amp; Time then click Deliver</t>
  </si>
  <si>
    <t>Verify Schedule Name displayed against the checked Delivery after refreshing after the given time.</t>
  </si>
  <si>
    <t>Verify details shown on the Display page for a particular displays are correct .</t>
  </si>
  <si>
    <t>1. Launch JioSignage  Sign In Page : https://digitalsignage.jio.com/users/sign_in . 
2. Login with valid credentials.
3. Click Display Status tab
4. Verify existing display details</t>
  </si>
  <si>
    <t>Details available on Display page should be correct and accurate . 
Display ID , Owner name , Display name , Schedule , IP Address , HDMI status (Cable Status) ,Last delivery AT,  &amp;  Downloading Status &amp; Current status should be correct</t>
  </si>
  <si>
    <t>test_displaySettings</t>
  </si>
  <si>
    <t>Verify Left Navigation of Display Status</t>
  </si>
  <si>
    <t>1. Launch JioSignage  Sign In Page : https://digitalsignage.jio.com/users/sign_in . 
2. Login with valid credentials.
3. Click Display Status tab
4. Left Navigation under Display Status is displayed by default</t>
  </si>
  <si>
    <t xml:space="preserve">Verify Left Navigation of Display Status displays Online/Offline, Base, State, City, District, Pin code, OS Type, Schedule, Tag wise &amp; HDMI Status  (Cable Status) 
</t>
  </si>
  <si>
    <t>test_LeftNavigation</t>
  </si>
  <si>
    <t>Verify Online Displays of Left Navigation</t>
  </si>
  <si>
    <t>1. Launch JioSignage  Sign In Page : https://digitalsignage.jio.com/users/sign_in . 
2. Login with valid credentials.
3. Click Display Status tab
4. Left Navigation of Display Status under Online/Offline 
5. Select/Unselect Online Displays option</t>
  </si>
  <si>
    <t>Verify Online Displays is checkable/uncheckable and page updates accordingly.</t>
  </si>
  <si>
    <t>test_online_offline_options</t>
  </si>
  <si>
    <t>Verify Offline Displays of Left Navigation</t>
  </si>
  <si>
    <t>1. Launch JioSignage  Sign In Page : https://digitalsignage.jio.com/users/sign_in . 
2. Login with valid credentials.
3. Click Display Status tab
4. Left Navigation of Display Status under Online/Offline 
5. Select/Unselect Offline Displays option</t>
  </si>
  <si>
    <t>Verify Offline Displays is checkable/uncheckable and page updates accordingly.</t>
  </si>
  <si>
    <t xml:space="preserve">1) Verify Offline &lt; 1 Day of Left Navigation
2) Verify Offline 1-3 Days of Left Navigation
3) Verify Offline 3-5 Days of Left Navigation
4) Verify Offline 5-7 Days of Left Navigation
5) Verify Offline 7-15 Days of Left Navigation
6) Verify Offline 15-30 Days of Left Navigation
7) Verify Offline &gt; 30 Days of Left Navigation
</t>
  </si>
  <si>
    <t>1. Launch JioSignage  Sign In Page : https://digitalsignage.jio.com/users/sign_in . 
2. Login with valid credentials.
3. Click Display Status tab
4. Left Navigation of Display Status under Online/Offline 
5. Select/Unselect  Offline &lt; 1 Day option
6. Select/Unselect  Offline  1-3 Days option
7.  Select/Unselect  Offline 3-5 Days option
8. Select/Unselect  Offline  5-7 Days option
9. Select/Unselect  Offline  7-15 Days option
10. Select/Unselect  Offline  15-30 Days option
11. Select/Unselect  Offline &gt; 30 Days option</t>
  </si>
  <si>
    <t>&gt; Verify Offline &lt; 1 Day is checkable/uncheckable and page updates accordingly.
&gt; Verify Offline 1-3 Days is checkable/uncheckable and page updates accordingly.
&gt; Verify Offline 3-5 Days is checkable/uncheckable and page updates accordingly.
&gt; Verify Offline 5-7 Days is checkable/uncheckable and page updates accordingly.
&gt; Verify Offline 7-15 Days is checkable/uncheckable and page updates accordingly.
&gt; Verify Offline 15-30 Days is checkable/uncheckable and page updates accordingly.
&gt; Verify Offline &gt; 30 Days is checkable/uncheckable and page updates accordingly.</t>
  </si>
  <si>
    <t>Verify Base of Left Navigation</t>
  </si>
  <si>
    <t xml:space="preserve">1. Launch JioSignage  Sign In Page : https://digitalsignage.jio.com/users/sign_in . 
2. Login with valid credentials.
3. Click Display Status tab
4. Select + icon against Base in left navigation of Display Status </t>
  </si>
  <si>
    <t>1. Verify Base options list displayed
2.  - sign appears against Online/Offline, when clicked the appeared list gets hide.
3. Verify one or more of the above option can select at a time and Display Status page update accordingly</t>
  </si>
  <si>
    <t>test_base_options</t>
  </si>
  <si>
    <t>Verify State of Left Navigation</t>
  </si>
  <si>
    <t xml:space="preserve">1. Launch JioSignage  Sign In Page : https://digitalsignage.jio.com/users/sign_in . 
2. Login with valid credentials.
3. Click Display Status tab
4. Select + icon against State in left navigation of Display Status </t>
  </si>
  <si>
    <t>1. Verify State options list displayed
2.  - sign appears against State, when clicked the appeared list gets hide.
3. Verify one or more of the above option can select at a time and Display Status page updates accordingly</t>
  </si>
  <si>
    <t>test_state_options</t>
  </si>
  <si>
    <t>Verify City of Left Navigation</t>
  </si>
  <si>
    <t xml:space="preserve">1. Launch JioSignage  Sign In Page : https://digitalsignage.jio.com/users/sign_in . 
2. Login with valid credentials.
3. Click Display Status tab
4. Select + icon against City in left navigation of Display Status </t>
  </si>
  <si>
    <t>1. Verify City options list displayed
2.  - sign appears against City, when clicked the appeared list gets hide.
3. Verify one or more of the above option can select at a time and Display Status page updates accordingly</t>
  </si>
  <si>
    <t>test_city_options</t>
  </si>
  <si>
    <t>Verify District of Left Navigation</t>
  </si>
  <si>
    <t xml:space="preserve">1. Launch JioSignage  Sign In Page : https://digitalsignage.jio.com/users/sign_in . 
2. Login with valid credentials.
3. Click Display Status tab
4. Select + icon against District in left navigation of Display Status </t>
  </si>
  <si>
    <t>1. Verify District options list displayed
2.  - sign appears against District, when clicked the appeared list gets hide.
3. Verify one or more of the above option can select at a time and Display Status page updates accordingly</t>
  </si>
  <si>
    <t>test_district_options</t>
  </si>
  <si>
    <t>Verify OS Type of Left Navigation</t>
  </si>
  <si>
    <t xml:space="preserve">1. Launch JioSignage  Sign In Page : https://digitalsignage.jio.com/users/sign_in . 
2. Login with valid credentials.
3. Click Display Status tab
4. Select + icon against OS Type in left navigation of Display Status </t>
  </si>
  <si>
    <t>1. Verify OS Type options list displayed
2.  - sign appears against OS Type, when clicked the appeared list gets hide.
3. Verify one or more of the above option can select at a time and Display Status page updates accordingly</t>
  </si>
  <si>
    <t>test_os_type_options</t>
  </si>
  <si>
    <t>Verify Schedule of Left Navigation</t>
  </si>
  <si>
    <t xml:space="preserve">1. Launch JioSignage  Sign In Page : https://digitalsignage.jio.com/users/sign_in . 
2. Login with valid credentials.
3. Click Display Status tab
4. Select + icon against Schedule in left navigation of Display Status </t>
  </si>
  <si>
    <t>1. Verify Schedule options list displayed
2.  - sign appears against Schedule, when clicked the appeared list gets hide.
3. Verify one or more of the above option can select at a time and Display Status page updates accordingly</t>
  </si>
  <si>
    <t>test_schedule_options</t>
  </si>
  <si>
    <t>Verify Tag wise of Left Navigation</t>
  </si>
  <si>
    <t xml:space="preserve">1. Launch JioSignage  Sign In Page : https://digitalsignage.jio.com/users/sign_in . 
2. Login with valid credentials.
3. Click Display Status tab
4. Select + icon against Tag wise in left navigation of Display Status </t>
  </si>
  <si>
    <t>1. Verify Tag wise options list displayed
2.  - sign appears against Tag wise, when clicked the appeared list gets hide.
3. Verify one or more of the above option can select at a time and Display Status page updates accordingly</t>
  </si>
  <si>
    <t>test_tagwise_options</t>
  </si>
  <si>
    <t>Verify HDMI Status (Cable Status) of Left Navigation</t>
  </si>
  <si>
    <t xml:space="preserve">1. Launch JioSignage  Sign In Page : https://digitalsignage.jio.com/users/sign_in . 
2. Login with valid credentials.
3. Click Display Status tab
4. Select + icon against HDMI Status (Cable Status) in left navigation of Display Status </t>
  </si>
  <si>
    <t>1. Verify HDMI Status (Cable Status) options list displayed
2. Sign appears against HDMI Status (Cable Status), when clicked the appeared list gets hide.
3. Verify one or more of the above option can select at a time and Display Status page updates accordingly</t>
  </si>
  <si>
    <t>test_HDMI_Status_options</t>
  </si>
  <si>
    <t>Verify HDMI status (Cable Status) was displaying in Display Status page.</t>
  </si>
  <si>
    <t>1. Launch JioSignage  Sign In Page : https://digitalsignage.jio.com/users/sign_in. 
2. Login with valid credentials.
3. Click Display Status tab.</t>
  </si>
  <si>
    <t>It should show HDMI status (Cable Status) connected.</t>
  </si>
  <si>
    <t>Deliver button functionality</t>
  </si>
  <si>
    <t>1. Launch JioSignage  Sign In Page : https://digitalsignage.jio.com/users/sign_in. 
2. Login with valid credentials.
3. Click Display Status tab.
4. Select  one display checkbox or multiple checkboxes, then click on the deliver option and Click On Ok option.</t>
  </si>
  <si>
    <t xml:space="preserve">User should be able to deliver </t>
  </si>
  <si>
    <t>test_Deliverfunctionality</t>
  </si>
  <si>
    <t xml:space="preserve">Sync button functionality </t>
  </si>
  <si>
    <t>1. Launch JioSignage  Sign In Page : https://digitalsignage.jio.com/users/sign_in. 
2. Login with valid credentials.
3. Click Display Status tab.
4. Select  one display checkbox or multiple checkboxes, then click on the Sync option and Click On Ok option.</t>
  </si>
  <si>
    <t>test_SyncyFunctionality</t>
  </si>
  <si>
    <t>Reboot button functionality</t>
  </si>
  <si>
    <t>1. Launch JioSignage  Sign In Page : https://digitalsignage.jio.com/users/sign_in. 
2. Login with valid credentials.
3. Click Display Status tab.
4. Select  one display checkbox or multiple checkboxes, then click on the Reboot option and Click On Ok option.</t>
  </si>
  <si>
    <t>User should be able to reboot STB</t>
  </si>
  <si>
    <t>test_Rebootfunctionality</t>
  </si>
  <si>
    <t>Get Current Status functionality</t>
  </si>
  <si>
    <t>1. Launch JioSignage  Sign In Page : https://digitalsignage.jio.com/users/sign_in. 
2. Login with valid credentials.
3. Click Display Status tab.
4. Select  one display checkbox or multiple checkboxes, then click on the Current Status option.</t>
  </si>
  <si>
    <t>User should be able to get Current Status of content delivered on STB</t>
  </si>
  <si>
    <t>Assign Schedule functionality --&gt;Deliver Now</t>
  </si>
  <si>
    <t>1. Launch JioSignage  Sign In Page : https://digitalsignage.jio.com/users/sign_in. 
2. Login with valid credentials.
3. Click Display Status tab.
4. Select  one display checkbox or multiple checkboxes, then click on the Schedule functionality --&gt;Deliver Now option.
5.Select schedule and deliver instantly.</t>
  </si>
  <si>
    <t>User should be able to select schedule and deliver instantly</t>
  </si>
  <si>
    <t>test_deliverschedule</t>
  </si>
  <si>
    <t>Assign Schedule functionality --&gt;Deliver Later</t>
  </si>
  <si>
    <t>1. Launch JioSignage  Sign In Page : https://digitalsignage.jio.com/users/sign_in. 
2. Login with valid credentials.
3. Click Display Status tab.
4. Select  one display checkbox or multiple checkboxes, then click on the Schedule functionality --&gt;Deliver  Later option and Click On it.
5.Then Select schedule and deliver later as per time/date selection and Click on deliver option.</t>
  </si>
  <si>
    <t>User should be able to select schedule and deliver later as per time/date selection</t>
  </si>
  <si>
    <t>Verify Pin code of Left Navigation</t>
  </si>
  <si>
    <t>1. Launch JioSignage  Sign In Page : https://digitalsignage.jio.com/users/sign_in . 
2. Login with valid credentials.
3. Click Display Status tab
4. Select + icon against Pin code in left navigation of Display Status.</t>
  </si>
  <si>
    <t>1. Verify Pin code options list displayed
2.  - sign appears against Pin code, when clicked the appeared list gets hide.
3. Verify one or more of the above option can select at a time and Display Status page updates accordingly</t>
  </si>
  <si>
    <t>test_pincode_options</t>
  </si>
  <si>
    <t xml:space="preserve"> Refresh Page functionality</t>
  </si>
  <si>
    <t xml:space="preserve">1. Launch JioSignage  Sign In Page : https://digitalsignage.jio.com/users/sign_in. 
2. Login with valid credentials.
3. Click Display Status tab.
4. Select one or multiple checkboxes, then click on the 'Refresh Page' option, or simply click on the 'Refresh Page' option without selecting any checkboxes.
</t>
  </si>
  <si>
    <t>User should be able to see the refreshed page after using the 'Refresh Page' functionality.</t>
  </si>
  <si>
    <t>test_displayStatus_refreshBtn</t>
  </si>
  <si>
    <t>Display details</t>
  </si>
  <si>
    <t>Verify Display Details against Display Name</t>
  </si>
  <si>
    <t xml:space="preserve">1.Launch JioSignage  Sign In Page : https://digitalsignage.jio.com/users/sign_in .
2.Login with valid credential.
3. Click on Content Management &gt; Displays
4. Click on Display Name
</t>
  </si>
  <si>
    <t>User should be able to see display settings inside display information page.</t>
  </si>
  <si>
    <t xml:space="preserve"> Live Monitoring</t>
  </si>
  <si>
    <t xml:space="preserve"> Screen Captures</t>
  </si>
  <si>
    <t>Open Live Monitoring page and verify</t>
  </si>
  <si>
    <t>1. Launch JioSignage  Sign In Page : https://digitalsignage.jio.com/users/sign_in . 
2. Login with valid credentials.
3. From the Dashboard page, navigate to the Live Monitoring page and click on it.</t>
  </si>
  <si>
    <t xml:space="preserve">&gt;Verify that user is able to open " Live Monitoring Page".
&gt;Following items should be available on "Live Monitoring Page"
1) State, 2) City, 3) District, 4) Pin Code, 5) OS Type, 6) Schedule, 7) Tagwise &amp; 8) HDMI Status (Cable Status), 9) Search Tab, 10) Screen Capture Time Interval  &amp; 11) Online Devices available will also list in this page.
&gt;Keep page idle for 25 min and verify that after 25 minutes of launching of page, new screen capture is getting populated on page, can be checked with "Screen Last Update " status on listed display.                                                                 </t>
  </si>
  <si>
    <t>1. Launch JioSignage  Sign In Page : https://digitalsignage.jio.com/users/sign_in . 
2. Login with valid credentials.
3. From the Dashboard page, navigate to the Live Monitoring page and click on it.
4. Click  Screen Captures tab.
5. Click Search box icon on upper left
6. Enter the 'Display ID' and 'Display Name'.</t>
  </si>
  <si>
    <t>&gt; Verify that screen captures are searchable by 'Display ID' and 'Display Name' and that they are displayed along with the 'Updated Image' label, showing the correct 'Date and time' for eg- '03-01-2025 Fri, 03:32:41 PM' .</t>
  </si>
  <si>
    <t>Verify Display Screen Capture image Clickable Functionality</t>
  </si>
  <si>
    <t xml:space="preserve">1. Launch JioSignage  Sign In Page : https://digitalsignage.jio.com/users/sign_in . 
2. Login with valid credentials.
3. From the Dashboard page, navigate to the Live Monitoring page and click on it.
4. Click  Screen Captures tab.
5. Click Search box icon on upper left
6. Enter the 'Display Name' then, after searching, click on the particular 'Display Screen Capture image' under Screen Capture.
7.Observe.
</t>
  </si>
  <si>
    <t>&gt; Verify that after searching for a particular Screen Capture, the 'Display Screen Capture image' is clickable. After clicking, the 'image should be displayed in full screen' showing the Display ID (e.g., 36764) and Display Name (e.g., 24CON02Place) properly.</t>
  </si>
  <si>
    <t>Verify Display Name Clickable Functionality</t>
  </si>
  <si>
    <t xml:space="preserve">1. Launch JioSignage  Sign In Page : https://digitalsignage.jio.com/users/sign_in . 
2. Login with valid credentials.
3. From the Dashboard page, navigate to the Live Monitoring page and click on it.
4. Click  Screen Captures tab.
5. Click Search box icon on upper left
6. Enter the 'Display Name' then, after searching, click on the particular 'Display Name' under Screen Capture.
7.Observe.
</t>
  </si>
  <si>
    <t>&gt; Verify that after searching for the particular Screen Capture 'Display Name' it is clickable. After clicking, the 'Display Information' should be displayed properly.</t>
  </si>
  <si>
    <t xml:space="preserve">1. Launch JioSignage  Sign In Page : https://digitalsignage.jio.com/users/sign_in . 
2. Login with valid credentials.
3. From the Dashboard page, navigate to the Live Monitoring page and click on it.
4. Click  Screen Captures tab
5. Select + icon against State in left navigation of  Screen Captures </t>
  </si>
  <si>
    <t>1. Verify State options list displayed
2. Verify one or more checkboxes from the options above can be selected at a time and the page updates accordingly with screen captures.</t>
  </si>
  <si>
    <t>1. Launch JioSignage  Sign In Page : https://digitalsignage.jio.com/users/sign_in . 
2. Login with valid credentials.
3. From the Dashboard page, navigate to the Live Monitoring page and click on it.
4. Click  Screen Captures tab
5. Select + icon against City in left navigation of  Screen Captures.</t>
  </si>
  <si>
    <t>1. Verify City options list displayed
2. Verify one or more checkboxes from the options above can be selected at a time and the page updates accordingly with screen captures.</t>
  </si>
  <si>
    <t xml:space="preserve">1. Launch JioSignage  Sign In Page : https://digitalsignage.jio.com/users/sign_in . 
2. Login with valid credentials.
3. From the Dashboard page, navigate to the Live Monitoring page and click on it.
4. Click  Screen Captures tab
5. Select + icon against District in left navigation of  Screen Captures </t>
  </si>
  <si>
    <t>1. Verify District options list displayed
2. Verify one or more checkboxes from the options above can be selected at a time and the page updates accordingly with screen captures.</t>
  </si>
  <si>
    <t>Verify Pin Code of Left Navigation</t>
  </si>
  <si>
    <t>1. Launch JioSignage  Sign In Page : https://digitalsignage.jio.com/users/sign_in . 
2. Login with valid credentials.
3. From the Dashboard page, navigate to the Live Monitoring page and click on it.
4. Click  Screen Captures tab
5. Select + icon against Pin Code in left navigation of  Screen Captures.</t>
  </si>
  <si>
    <t>1. Verify Pin Code options list displayed
2. Verify one or more checkboxes from the options above can be selected at a time and the page updates accordingly with screen captures.</t>
  </si>
  <si>
    <t>1. Launch JioSignage  Sign In Page : https://digitalsignage.jio.com/users/sign_in . 
2. Login with valid credentials.
3. From the Dashboard page, navigate to the Live Monitoring page and click on it.
4. Click  Screen Captures tab
5. Select + icon against OS Type in left navigation of  Screen Captures.</t>
  </si>
  <si>
    <t>1. Verify OS Type options list displayed
2. Verify one or more checkboxes from the options above can be selected at a time and the page updates accordingly with screen captures.</t>
  </si>
  <si>
    <t xml:space="preserve">1. Launch JioSignage  Sign In Page : https://digitalsignage.jio.com/users/sign_in . 
2. Login with valid credentials.
3. From the Dashboard page, navigate to the Live Monitoring page and click on it.
4. Click  Screen Captures tab
5. Select + icon against Schedule in left navigation of  Screen Captures </t>
  </si>
  <si>
    <t>1. Verify Schedule options list displayed
2. Verify one or more checkboxes from the options above can be selected at a time and the page updates accordingly with screen captures.</t>
  </si>
  <si>
    <t xml:space="preserve">1. Launch JioSignage  Sign In Page : https://digitalsignage.jio.com/users/sign_in . 
2. Login with valid credentials.
3. From the Dashboard page, navigate to the Live Monitoring page and click on it.
4. Click  Screen Captures tab
5. Select + icon against Tag wise in left navigation of  Screen Captures </t>
  </si>
  <si>
    <t>1. Verify Tag wise options list displayed
2. Verify one or more checkboxes from the options above can be selected at a time and the page updates accordingly with screen captures.</t>
  </si>
  <si>
    <t xml:space="preserve">1. Launch JioSignage  Sign In Page : https://digitalsignage.jio.com/users/sign_in . 
2. Login with valid credentials.
3. From the Dashboard page, navigate to the Live Monitoring page and click on it.
4. Click  Screen Captures tab
5. Select + icon against HDMI Status (Cable Status) in left navigation of  Screen Captures </t>
  </si>
  <si>
    <t>1. Verify HDMI Status (Cable Status) options list displayed
2. Verify one or more checkboxes from the options above can be selected at a time and the page updates accordingly with screen captures.</t>
  </si>
  <si>
    <t>Screen Capture Interval functionality</t>
  </si>
  <si>
    <t>1. Launch JioSignage  Sign In Page : https://digitalsignage.jio.com/users/sign_in. 
2. Login with valid credentials.
3. From the Dashboard page, navigate to the Live Monitoring page and click on it.
4. Click  Screen Captures tab.
5. Select the Screen Capture Interval functionality, then click on the 5-minute time option from the dropdown.</t>
  </si>
  <si>
    <t>User should be able to see the screen with a 5-minute screen capture interval.</t>
  </si>
  <si>
    <t>1. Launch JioSignage  Sign In Page : https://digitalsignage.jio.com/users/sign_in. 
2. Login with valid credentials.
3. From the Dashboard page, navigate to the Live Monitoring page and click on it.
4. Click  Screen Captures tab.
5. Select the Screen Capture Interval functionality, then click on the 10-minutes time option from the dropdown.</t>
  </si>
  <si>
    <t>User should be able to see the screen with a 10-minutes screen capture interval.</t>
  </si>
  <si>
    <t>1. Launch JioSignage  Sign In Page : https://digitalsignage.jio.com/users/sign_in. 
2. Login with valid credentials.
3. From the Dashboard page, navigate to the Live Monitoring page and click on it.
4. Click  Screen Captures tab.
5. Select the Screen Capture Interval functionality, then click on the 15-minutes time option from the dropdown.</t>
  </si>
  <si>
    <t>User should be able to see the screen with a 15-minutes screen capture interval.</t>
  </si>
  <si>
    <t>1. Launch JioSignage  Sign In Page : https://digitalsignage.jio.com/users/sign_in. 
2. Login with valid credentials.
3. From the Dashboard page, navigate to the Live Monitoring page and click on it.
4. Click  Screen Captures tab.
5. Select the Screen Capture Interval functionality, then click on the 20-minutes time option from the dropdown.</t>
  </si>
  <si>
    <t>User should be able to see the screen with a 20-minutes screen capture interval.</t>
  </si>
  <si>
    <t>1. Launch JioSignage  Sign In Page : https://digitalsignage.jio.com/users/sign_in. 
2. Login with valid credentials.
3. From the Dashboard page, navigate to the Live Monitoring page and click on it.
4. Click  Screen Captures tab.
5. Select the Screen Capture Interval functionality, then click on the 25-minutes time option from the dropdown.</t>
  </si>
  <si>
    <t>User should be able to see the screen with a 25-minutes screen capture interval.</t>
  </si>
  <si>
    <t>Playlogs - Head Account</t>
  </si>
  <si>
    <t>Verify user able to click play log option.</t>
  </si>
  <si>
    <t>1.Enter URL in address bar JioSignage  Sign In Page : https://digitalsignage.jio.com/users/sign_in .
2.Now enter valid credentials and click on get otp.
3.Enter otp and click on submit otp.
4.Click on reports drop down and select playlogs option observe.</t>
  </si>
  <si>
    <t>It should reflect playlogs page with table and table name  listed below i.e.,
Search bar,
Display ID, Display Name, Layout Name, Play start , date/time, Play time (sec) &amp; HDMI Status</t>
  </si>
  <si>
    <t>verify user able to see the "Generate a report of all the Layout played on the display" text in top left of playlog page.</t>
  </si>
  <si>
    <t>"1.Enter URL in address bar JioSignage  Sign In Page : https://digitalsignage.jio.com/users/sign_in .
2.Now enter valid credentials and click on get otp.
3.Enter otp and click on submit otp.
4.Click on reports drop down and select playlogs option.
5.Observe the Report management message on display.</t>
  </si>
  <si>
    <t>Report generate a report message should display on playlog page.</t>
  </si>
  <si>
    <t>check search functionality in playlogs page.</t>
  </si>
  <si>
    <t>1.Enter URL in address bar JioSignage  Sign In Page : https://digitalsignage.jio.com/users/sign_in .
2.Now enter valid credentials and click on get otp.
3.Enter otp and click on submit otp.
4.Click on reports drop down and select &amp; open playlogs option.
5.Now click on search bar and search display name and observe.</t>
  </si>
  <si>
    <t>Searched reports should display on playlogs page.</t>
  </si>
  <si>
    <t>Verify user able to refresh the page by clicking refresh icon.</t>
  </si>
  <si>
    <t>"1.Enter URL in address bar JioSignage  Sign In Page : https://digitalsignage.jio.com/users/sign_in .
2.Now enter valid credentials and click on get otp.
3.Enter otp and click on submit otp.
4.Click on reports drop down and select playlogs option.
5.Now click on refresh icon and observe the behaviour.</t>
  </si>
  <si>
    <t>Opened page should refresh after clicking on refresh icon.</t>
  </si>
  <si>
    <t>Verify user able to click  next and previous button pages by clicking &lt; &amp; &gt; from down in playlogs page.</t>
  </si>
  <si>
    <t>1.Enter URL in address bar JioSignage  Sign In Page : https://digitalsignage.jio.com/users/sign_in .
2.Now enter valid credentials and click on get otp.
3.Enter otp and click on submit otp.
4.Click on reports drop down and select &amp; open playlogs option.
5.Now click on &lt; &amp; &gt; icon and observe the behaviour.</t>
  </si>
  <si>
    <t>if we click &gt; button it should redirect to next page same if we click &lt; it should redirect to previous page.</t>
  </si>
  <si>
    <t>Check how many entries will show  display in playlogs page.</t>
  </si>
  <si>
    <t>"1.Enter URL in address bar JioSignage  Sign In Page : https://digitalsignage.jio.com/users/sign_in .
2.Now enter valid credentials and click on get otp.
3.Enter otp and click on submit otp.
4.Click on reports drop down and select playlogs option.
5.Scroll down and observe the count of displayed entries.</t>
  </si>
  <si>
    <t>It should display 20 entries in each page after clicking next option from play logs page.</t>
  </si>
  <si>
    <t>Verify sorting functionality in play logs page.</t>
  </si>
  <si>
    <t>"1.Enter URL in address bar JioSignage  Sign In Page : https://digitalsignage.jio.com/users/sign_in .
2.Now enter valid credentials and click on get otp.
3.Enter otp and click on submit otp.
.
5.Click on reports drop down and select playlogs option.
6.Now click on sort icon in Display ID, Display Name, Layout Name, Play start, date/time, Play time (sec) &amp; HDMI Status and observe.</t>
  </si>
  <si>
    <t>Sort functionality should work and it should display ascending and descending order.</t>
  </si>
  <si>
    <t>Check able to click generate the report  option from playlogs page.</t>
  </si>
  <si>
    <t>"1.Enter URL in address bar JioSignage  Sign In Page : https://digitalsignage.jio.com/users/sign_in .
2.Now enter valid credentials and click on get otp.
3.Enter otp and click on submit otp.
4.Click on reports drop down and select playlogs option.
5.Now click on generate report  option and observe the behaviour.</t>
  </si>
  <si>
    <t>It should display Generate report osd box with two options i.e. Layout &amp; display.</t>
  </si>
  <si>
    <t>Verify able to select the Layout option from report generate page.</t>
  </si>
  <si>
    <t>"1.Enter URL in address bar JioSignage  Sign In Page : https://digitalsignage.jio.com/users/sign_in .
2.Now enter valid credentials and click on get otp.
3.Enter otp and click on submit otp.
4.Click on reports drop down and select playlogs option.
5.Now click on generate report  option&gt;click Layout option and observe</t>
  </si>
  <si>
    <t>It should display with three options after selecting Layout option i.e.   custom report, Layout report &amp; Layout tag wise report.</t>
  </si>
  <si>
    <t>Verify able to generate the custom report for Layout</t>
  </si>
  <si>
    <t>"1.Enter URL in address bar JioSignage  Sign In Page : https://digitalsignage.jio.com/users/sign_in .
2.Now enter valid credentials and click on get otp.
3.Enter otp and click on submit otp.
4.Click on reports drop down and select playlogs option.
5.Now click on generate report  option&gt;click Layout option&gt;custom report option &gt;&gt;Default "Layout report " selected" &gt;&gt;Click on search in Layout field&gt;&gt;Select layout&gt;&gt;Click on Display Field &gt;&gt;Seclect Display Name from it&gt;&gt; Select Start Date &gt;&gt; Select End Date &gt;&gt;Click on email report and observe the register mail.</t>
  </si>
  <si>
    <t>Generated report should receive on register mail.</t>
  </si>
  <si>
    <t>Verify able to generate the custom report for Layout(Media) .</t>
  </si>
  <si>
    <t>"1.Enter URL in address bar JioSignage  Sign In Page : https://digitalsignage.jio.com/users/sign_in .
2.Now enter valid credentials and click on get otp.
3.Enter otp and click on submit otp.
4.Click on reports drop down and select playlogs option.
5.Now click on generate report  option&gt;click Layout option&gt;custom report option &gt;&gt;Media name &gt;&gt;Click on search in Media field&gt;&gt;Select Media&gt;&gt;Click on Display Field &gt;&gt;Seclect Display Name from it&gt;&gt; Select Start Date &gt;&gt; Select End Date &gt;&gt;Click on email report and observe the register mail.</t>
  </si>
  <si>
    <t>Generated Playlog report should receive on register mail.</t>
  </si>
  <si>
    <t>Verify able to generate the Layout report.</t>
  </si>
  <si>
    <t>"1.Enter URL in address bar JioSignage  Sign In Page : https://digitalsignage.jio.com/users/sign_in .
2.Now enter valid credentials and click on get otp.
3.Enter otp and click on submit otp.
4.Click on reports drop down and select playlogs option.
5.Now click on generate report  option&gt;click Layout option&gt;Layout report option and Select layout/all layout on respective fields and click on email report and observe the register mail.</t>
  </si>
  <si>
    <t>Generated report should receive on register mail.
Verify layout generated report should be same as selected layout</t>
  </si>
  <si>
    <t>Verify able to generate the Layout tagwise report.</t>
  </si>
  <si>
    <t>"1.Enter URL in address bar JioSignage  Sign In Page : https://digitalsignage.jio.com/users/sign_in .
2.Now enter valid credentials and click on get otp.
3.Enter otp and click on submit otp.
4.Click on reports drop down and select playlogs option.
5.Observe the Report management message on display.
6.Now click on generate report  option&gt;click layout option&gt;Layout tagwise report option &gt;&gt;Select layout name &gt;and fill start or end date then on click on email report and observe the register mail.</t>
  </si>
  <si>
    <t xml:space="preserve">
Generated report should receive on register mail.
Verify layout tagwise generated report should be same as selected layout</t>
  </si>
  <si>
    <t>Verify able to select the display option from report generate page.</t>
  </si>
  <si>
    <t>"1.Enter URL in address bar JioSignage  Sign In Page : https://digitalsignage.jio.com/users/sign_in .
2.Now enter valid credentials and click on get otp.
3.Enter otp and click on submit otp.
4.Click on reports drop down and select playlogs option.
5.Now click on generate report  option&gt;click display option and observe</t>
  </si>
  <si>
    <t xml:space="preserve">It should display with three options after selecting display option i.e.   display report, display tagwise report &amp; date wise display tag report.
</t>
  </si>
  <si>
    <t>Verify able to generate the display report.</t>
  </si>
  <si>
    <t>"1.Enter URL in address bar JioSignage  Sign In Page : https://digitalsignage.jio.com/users/sign_in .
2.Now enter valid credentials and click on get otp.
3.Enter otp and click on submit otp.
4.Click on reports drop down and select playlogs option.
5.Now click on generate report  option&gt;click display option&gt;display report option and fill the details like display details and date &amp; time on respective fields and click on email report and observe the register mail.</t>
  </si>
  <si>
    <t xml:space="preserve">Generated report should receive on register mail.
Verify selected Display/All generated report should be same as selected Display </t>
  </si>
  <si>
    <t>Verify able to generate the display tagwise report.</t>
  </si>
  <si>
    <t>"1.Enter URL in address bar JioSignage  Sign In Page : https://digitalsignage.jio.com/users/sign_in .
2.Now enter valid credentials and click on get otp.
3.Enter otp and click on submit otp.
4.Click on reports drop down and select playlogs option.
5.Now click on generate report  option&gt;click display option&gt;display tagwise report option and fill the details like display tag name, display details and date &amp; time on respective fields and click on email report and observe the register mail.</t>
  </si>
  <si>
    <t xml:space="preserve">Generated report should receive on register mail.
Verify selected Display Tagwise/All generated report should be same as selected Display </t>
  </si>
  <si>
    <t>Verify able to generate the date wise display tag report.</t>
  </si>
  <si>
    <t>"1.Enter URL in address bar JioSignage  Sign In Page : https://digitalsignage.jio.com/users/sign_in .
2.Now enter valid credentials and click on get otp.
3.Enter otp and click on submit otp.
4.Click on reports drop down and select playlogs option.
5.Now click on generate report  option&gt;click display option&gt;date wise display tag report option and fill the details like display tag name, display details and date &amp; time on respective fields and click on email report and observe the register mail.</t>
  </si>
  <si>
    <t>Verify that Layout report data is accurate</t>
  </si>
  <si>
    <t>"1.Enter URL in address bar JioSignage  Sign In Page : https://digitalsignage.jio.com/users/sign_in .
2.Now enter valid credentials and click on get otp.
3.Enter otp and click on submit otp.
4.Click on reports drop down and select playlogs option.
5. Generate report-&gt;Layout-&gt;Layout Report
6. Select Layout name , Start date ,End date and Email report
7.Observe</t>
  </si>
  <si>
    <t>Report will be received on provided email ID.
Check and review report and verify that details provided in the report are correct. There is should not be any difference in actual run and reported run .</t>
  </si>
  <si>
    <t>User activity logs - Head Account</t>
  </si>
  <si>
    <t>Verify user able to click user activity logs option.</t>
  </si>
  <si>
    <t>"1.Enter URL in address bar JioSignage  Sign In Page : https://digitalsignage.jio.com/users/sign_in .
2.Now enter valid credentials and click on get otp.
3.Enter otp and click on submit otp.
4.Click on reports drop down and select user activity logs option observe.</t>
  </si>
  <si>
    <t>It should redirect to user activity logs page with table and table name  listed below i.e.,
Search bar,
Username,	Event,	Item Type,	Item Name, Created At</t>
  </si>
  <si>
    <t>verify user able to see the "User activity" text in top left of user activity logs page.</t>
  </si>
  <si>
    <t>"1.Enter URL in address bar JioSignage  Sign In Page : https://digitalsignage.jio.com/users/sign_in .
2.Now enter valid credentials and click on get otp.
3.Enter otp and click on submit otp.
4.Click on reports drop down and select user activity logs option.
5.Observe the user activity page details on display.</t>
  </si>
  <si>
    <t>User activity logs bold text message should display on activity logs page.</t>
  </si>
  <si>
    <t>check search functionality in user activity logs page.</t>
  </si>
  <si>
    <t>"1.Enter URL in address bar JioSignage  Sign In Page : https://digitalsignage.jio.com/users/sign_in .
2.Now enter valid credentials and click on get otp.
3.Enter otp and click on submit otp.
4.Click on reports drop down and select user activity logs option.
5.Now click on search bar and search display name and observe.</t>
  </si>
  <si>
    <t>Check how many entries will show  display in user activity logs page.</t>
  </si>
  <si>
    <t>"1.Enter URL in address bar JioSignage  Sign In Page : https://digitalsignage.jio.com/users/sign_in .
2.Now enter valid credentials and click on get otp.
3.Enter otp and click on submit otp.
4.Click on reports drop down and select user activity option.
5.Scroll down and observe the count of displayed entries.</t>
  </si>
  <si>
    <t>It should display 20 entries in each page after clicking next option from user activity  logs page.</t>
  </si>
  <si>
    <t>Verify sorting functionality in user activity logs page.</t>
  </si>
  <si>
    <t>"1.Enter URL in address bar JioSignage  Sign In Page : https://digitalsignage.jio.com/users/sign_in .
2.Now enter valid credentials and click on get otp.
3.Enter otp and click on submit otp.
4.Click on reports drop down and select user activity logs option.
5.Now click on sort icon in Username	Event	Item Type	Item Name	Created At and observe.</t>
  </si>
  <si>
    <t>Check able to click generate the report  option from user activity logs page.</t>
  </si>
  <si>
    <t>"1.Enter URL in address bar JioSignage  Sign In Page : https://digitalsignage.jio.com/users/sign_in .
2.Now enter valid credentials and click on get otp.
3.Enter otp and click on submit otp.
4.Click on reports drop down and select User Activity Logs option.
5.Observe the user activity text message on display.
6.Now click on generate report  option and observe the behaviour.</t>
  </si>
  <si>
    <t>It should display Generate report osd box with three options i.e. daily, weekly &amp;custom.</t>
  </si>
  <si>
    <t>Verify able to generate the Today report.</t>
  </si>
  <si>
    <t>"1.Enter URL in address bar JioSignage  Sign In Page : https://digitalsignage.jio.com/users/sign_in .
2.Now enter valid credentials and click on get otp.
3.Enter otp and click on submit otp.
4.Click on reports drop down and select user activity logs  option.
5.Observe the user activity message on display.
6.Now click on generate report  option&gt;click  on daily option&gt; click on email report and observe the register mail.</t>
  </si>
  <si>
    <t>It should get pop up " Mail Request Generated Successfully " and Generated report should receive on register mail.</t>
  </si>
  <si>
    <t>Verify able to generate the weekly report.</t>
  </si>
  <si>
    <t>"1.Enter URL in address bar JioSignage  Sign In Page : https://digitalsignage.jio.com/users/sign_in .
2.Now enter valid credentials and click on get otp.
3.Enter otp and click on submit otp.
4.Click on reports drop down and select user activity logs  option.
5.Observe the user activity message on display.
6.Now click on generate report  option&gt;click  on weekly option&gt; click on email report and observe the register mail.</t>
  </si>
  <si>
    <t xml:space="preserve">It should get pop up " Mail Request Generated Successfully " and Generated report should receive on register mail.
</t>
  </si>
  <si>
    <t>Verify able to generate the custom report.</t>
  </si>
  <si>
    <t>"1.Enter URL in address bar JioSignage  Sign In Page : https://digitalsignage.jio.com/users/sign_in .
2.Now enter valid credentials and click on get otp.
3.Enter otp and click on submit otp.
4.Click on reports drop down and select user activity logs  option.
5.Observe the user activity message on display.
6.Now click on generate report  option&gt;click  on custom option&gt; click on email report and observe the register mail.</t>
  </si>
  <si>
    <t>Verify weekly report received are accurate</t>
  </si>
  <si>
    <t>"1.Enter URL in address bar JioSignage  Sign In Page : https://digitalsignage.jio.com/users/sign_in .
2.Now enter valid credentials and click on get otp.
3.Enter otp and click on submit otp.
4.Click on reports drop down and select user activity logs  option.
5.Observe the user activity message on display.
6.Now click on generate report  option&gt;click  on weekly option&gt; click on email report and report will emailed to provided email id.
7. Verify report's Layout</t>
  </si>
  <si>
    <t>Report received should be accurate and there should not be a difference in actual run and reported run
mail should neat and clear to understand.</t>
  </si>
  <si>
    <t>Playlogs - Base Account</t>
  </si>
  <si>
    <t>"1.Enter URL in address bar JioSignage  Sign In Page : https://digitalsignage.jio.com/users/sign_in .
2.Now enter valid credentials and click on get otp.
3.Enter otp and click on submit otp.
4.Click on reports drop down and select playlogs option.
5.Now click on generate report  option&gt;click Layout option&gt;custom report option and fill the details on respective fields and click on email report and observe the register mail.</t>
  </si>
  <si>
    <t>"1.Enter URL in address bar JioSignage  Sign In Page : https://digitalsignage.jio.com/users/sign_in .
2.Now enter valid credentials and click on get otp.
3.Enter otp and click on submit otp.
4.Click on reports drop down and select playlogs option.
5.Now click on generate report  option&gt;click Layout option&gt;Layout report option and fill the details on respective fields and click on email report and observe the register mail.</t>
  </si>
  <si>
    <t>"1.Enter URL in address bar JioSignage  Sign In Page : https://digitalsignage.jio.com/users/sign_in .
2.Now enter valid credentials and click on get otp.
3.Enter otp and click on submit otp.
4.Click on reports drop down and select playlogs option.
5.Now click on generate report  option&gt;click Layout option&gt;Layout tagwise report option and fill the details on respective fields and click on email report and observe the register mail.</t>
  </si>
  <si>
    <t>It should display with three options after selecting display option i.e.   display report, display tagwise report &amp; date wise display tag report.</t>
  </si>
  <si>
    <t>"1.Enter URL in address bar JioSignage  Sign In Page : https://digitalsignage.jio.com/users/sign_in .
2.Now enter valid credentials and click on get otp.
3.Enter otp and click on submit otp.
.Click on reports drop down and select playlogs option.
5. Generate report-&gt;Layout-&gt;Layout Report
6. Select Layout name , Start date ,End date and Email report
7.Observe</t>
  </si>
  <si>
    <t>User activity logs - Base Account</t>
  </si>
  <si>
    <t>Verify user able to see the UI/UX of user activity  logs page.</t>
  </si>
  <si>
    <t>"1.Enter URL in address bar JioSignage  Sign In Page : https://digitalsignage.jio.com/users/sign_in .
2.Now enter valid credentials and click on get otp.
3.Enter otp and click on submit otp.
4.Click on reports drop down and select user activity logs option observe the UI/UX.</t>
  </si>
  <si>
    <t>All alignment &amp; text should user understandable.</t>
  </si>
  <si>
    <t>"1.Enter URL in address bar JioSignage  Sign In Page : https://digitalsignage.jio.com/users/sign_in .
2.Now enter valid credentials and click on get otp.
3.Enter otp and click on submit otp.
4.Click on reports drop down and select playlogs option.
5.Observe the user activity text message on display.
6.Now click on generate report  option and observe the behaviour.</t>
  </si>
  <si>
    <t>Verify able to generate the Daily report.</t>
  </si>
  <si>
    <t xml:space="preserve">Play logs </t>
  </si>
  <si>
    <t>To verify user able to view the latest logs of play logs</t>
  </si>
  <si>
    <t>1.Enter URL in address bar JioSignage  Sign In Page : https://digitalsignage.jio.com/users/sign_in .
2.Now enter valid credentials and click on get otp.
3.Enter otp and click on submit otp.
4.Select report &gt; play logs.
5.Observe the all logs which is available on list.</t>
  </si>
  <si>
    <t>All play logs should be available on list.</t>
  </si>
  <si>
    <t>Play logs - image Layout</t>
  </si>
  <si>
    <t>To verify user able to view the latest delivered image Layout logs in play logs list.</t>
  </si>
  <si>
    <t>1.Enter URL in address bar JioSignage  Sign In Page : https://digitalsignage.jio.com/users/sign_in .
2.Now enter valid credentials and click on get otp.
3.Enter otp and click on submit otp.
4.Create image Layout  &gt; delivery to display.
5.Select report &gt; play logs.
6.Observe the image Layout logs which is available on list.</t>
  </si>
  <si>
    <t>&gt;Image Layout logs should be available on play logs list
&gt; Correct data of Display id , display name , Layout name , time &amp; date and HDMI status should be available.</t>
  </si>
  <si>
    <t>Play logs - video Layout</t>
  </si>
  <si>
    <t>To verify user able to view the latest delivered video Layout logs in play logs list.</t>
  </si>
  <si>
    <t>1.Enter URL in address bar JioSignage  Sign In Page : https://digitalsignage.jio.com/users/sign_in .
2.Now enter valid credentials and click on get otp.
3.Enter otp and click on submit otp.
4.Create video Layout  &gt; delivery to display.
5.Select report &gt; play logs.
6.Observe the video Layout logs which is available on list.</t>
  </si>
  <si>
    <t>&gt;Video Layout logs should be available on play logs list
&gt; Correct data of Display id , display name , Layout name , time date and HDMI status should be available.</t>
  </si>
  <si>
    <t>Play logs</t>
  </si>
  <si>
    <t>To verify the display name and Layout name in play logs list after deleted the display and Layout.</t>
  </si>
  <si>
    <t>1.Enter URL in address bar JioSignage  Sign In Page : https://digitalsignage.jio.com/users/sign_in .
2.Now enter valid credentials and click on get otp.
3.Enter otp and click on submit otp.
4.Create Layout.
5.Create display.
6.Delivery the Layout to that display. and wait until that Layout and display logs will appear on play logs.
7.Select report &gt; play logs.
8.Observe the display name and Layout name in play logs.
9.Go to Layout page &gt; delete that Layout.
10.Go to display page &gt;  delete that display.
11.Report &gt; play logs and observe display name and Layout name in play logs.</t>
  </si>
  <si>
    <t>Display name , Layout name , date &amp; time, display id  and HDMI connection should be available without any error or missing.</t>
  </si>
  <si>
    <t>Reports - User activity logs</t>
  </si>
  <si>
    <t>Media uploaded</t>
  </si>
  <si>
    <t>To verify Media upload logs in User activity logs.</t>
  </si>
  <si>
    <t>1.Enter URL in address bar JioSignage  Sign In Page : https://digitalsignage.jio.com/users/sign_in .
2.Now enter valid credentials and click on get otp.
3.Enter otp and click on submit otp.
4.Click Media &gt; click new icon &gt; upload any Media.
5.Click report &gt; user activity logs.
6.Observe latest upload activity log in user activity log list.</t>
  </si>
  <si>
    <t>&gt; The user activity logs should record the Media Uploaded event.
&gt; User name , event , item type , item name and created at all details should be available.</t>
  </si>
  <si>
    <t>Play logs - Head Account</t>
  </si>
  <si>
    <t>To verify all character and number in search Media field.</t>
  </si>
  <si>
    <t>"1.Enter URL in address bar JioSignage  Sign In Page : https://digitalsignage.jio.com/users/sign_in .
2.Now enter valid credentials and click on get otp.
3.Enter otp and click on submit otp.
.Click on reports drop down and select playlogs option.
5.Now click on generate report  option&gt;click Layout option&gt;custom report option &gt; click Media name .
6.Click Media name filed.
7.Enter all characters or number.</t>
  </si>
  <si>
    <t>&gt;User should able to enter all character and number in Media name text field.</t>
  </si>
  <si>
    <t>To verify suggestion list by selecting Media name field.</t>
  </si>
  <si>
    <t>"1.Enter URL in address bar JioSignage  Sign In Page : https://digitalsignage.jio.com/users/sign_in .
2.Now enter valid credentials and click on get otp.
3.Enter otp and click on submit otp.
.Click on reports drop down and select playlogs option.
5.Now click on generate report  option&gt;click Layout option&gt;custom report option &gt; click Media name .
6.Click Media name filed.
7.observe the lit of available Medias.</t>
  </si>
  <si>
    <t>&gt;List of Media should be available at below of Media text field.</t>
  </si>
  <si>
    <t>To verify list of Media name by selecting Media name filed.</t>
  </si>
  <si>
    <t>"1.Enter URL in address bar JioSignage  Sign In Page : https://digitalsignage.jio.com/users/sign_in .
2.Now enter valid credentials and click on get otp.
3.Enter otp and click on submit otp.
.Click on reports drop down and select playlogs option.
5.Observe the Report management message on display.
6.Now click on generate report  option&gt;click Layout option&gt;custom report option &gt; click Media name .
7.Click Media name filed.
8.observe the lit of available Medias &gt; select any Media name which is available on list.</t>
  </si>
  <si>
    <t>&gt;Selected  Media should be reflected on Media text field.
&gt; suggestion list should not closed  
&gt;User can select multiple Media name.</t>
  </si>
  <si>
    <t>To verify checkbox behavior of Media list.</t>
  </si>
  <si>
    <t>&gt; Checkbox of selected Media should be enable.
&gt; "All Media" should enable all available checkbox.</t>
  </si>
  <si>
    <t xml:space="preserve">To verify X icon functionality on Media text field </t>
  </si>
  <si>
    <t>"1.Enter URL in address bar JioSignage  Sign In Page : https://digitalsignage.jio.com/users/sign_in .
2.Now enter valid credentials and click on get otp.
3.Enter otp and click on submit otp.
.Click on reports drop down and select playlogs option.
5.Now click on generate report  option&gt;click Layout option&gt;custom report option &gt; click Media name .
6.Click Media name filed.
7.observe the lit of available Medias &gt; select any  Media name which is available on list.
8.click x icon which is available on Media text field (right side).</t>
  </si>
  <si>
    <t>&gt; Selected Media should clear</t>
  </si>
  <si>
    <t>Nonfunctional</t>
  </si>
  <si>
    <t>To verify enter Incorrect Media name (not available Media) on Media text box</t>
  </si>
  <si>
    <t>"1.Enter URL in address bar JioSignage  Sign In Page : https://digitalsignage.jio.com/users/sign_in .
2.Now enter valid credentials and click on get otp.
3.Enter otp and click on submit otp.
.Click on reports drop down and select playlogs option.
6.Now click on generate report  option&gt;click Layout option&gt;custom report option &gt; click Media name .
7.Click Media name filed.
8.Enter wrong Media name which is not available on list.</t>
  </si>
  <si>
    <t>&gt;Suggestion should show as "No result available"</t>
  </si>
  <si>
    <t>To verify all character and number in search Display name field.</t>
  </si>
  <si>
    <t>"1.Enter URL in address bar JioSignage  Sign In Page : https://digitalsignage.jio.com/users/sign_in .
2.Now enter valid credentials and click on get otp.
3.Enter otp and click on submit otp.
.Click on reports drop down and select playlogs option.
5.Now click on generate report  option&gt;click Layout option&gt;custom report option &gt; click Media name .
6.Click display name filed.
7.Enter all character and numbers .</t>
  </si>
  <si>
    <t>&gt; User should able to enter all character and number in display name text field.</t>
  </si>
  <si>
    <t>To verify suggestion list by selecting display name text field..</t>
  </si>
  <si>
    <t>"1.Enter URL in address bar JioSignage  Sign In Page : https://digitalsignage.jio.com/users/sign_in .
2.Now enter valid credentials and click on get otp.
3.Enter otp and click on submit otp.
.Click on reports drop down and select playlogs option.
5.Now click on generate report  option&gt;click Layout option&gt;custom report option &gt; click Media name .
6.Click display name field.</t>
  </si>
  <si>
    <t>&gt;List of display should be available at below of display text field.</t>
  </si>
  <si>
    <t>To verify list of display name by selecting display name filed.</t>
  </si>
  <si>
    <t>"1.Enter URL in address bar JioSignage  Sign In Page : https://digitalsignage.jio.com/users/sign_in .
2.Now enter valid credentials and click on get otp.
3.Enter otp and click on submit otp.
.Click on reports drop down and select playlogs option.
5.Now click on generate report  option&gt;click Layout option&gt;custom report option &gt; click Media name .
6.Click display name field.
7.select any display which is available on Suggestion</t>
  </si>
  <si>
    <t>&gt;Selected display should be reflected on display text field.
&gt; suggestion list should not closed . 
&gt;User can select multiple display name.</t>
  </si>
  <si>
    <t>To verify checkbox behavior of display list.</t>
  </si>
  <si>
    <t>"1.Enter URL in address bar JioSignage  Sign In Page : https://digitalsignage.jio.com/users/sign_in .
2.Now enter valid credentials and click on get otp.
3.Enter otp and click on submit otp.
.Click on reports drop down and select playlogs option.
5.Now click on generate report  option&gt;click Layout option&gt;custom report option &gt; click Media name .
6.Click display name field.
7.select any display which is available on Suggestion.</t>
  </si>
  <si>
    <t>&gt; Checkbox of selected display should be enable.
&gt; "All display" should enable all available checkbox.</t>
  </si>
  <si>
    <t xml:space="preserve">To verify X icon functionality on display text field </t>
  </si>
  <si>
    <t>"1.Enter URL in address bar JioSignage  Sign In Page : https://digitalsignage.jio.com/users/sign_in .
2.Now enter valid credentials and click on get otp.
3.Enter otp and click on submit otp.
.Click on reports drop down and select playlogs option.
5.Now click on generate report  option&gt;click Layout option&gt;custom report option &gt; click Media name .
6.Click display name field.
7.select any display which is available on Suggestion.
8.click x icon which is available on display text field (right side)</t>
  </si>
  <si>
    <t>&gt; Selected Media should cleared from field.</t>
  </si>
  <si>
    <t>To verify enter Incorrect display name (not available display ) on Display text box</t>
  </si>
  <si>
    <t>"1.Enter URL in address bar JioSignage  Sign In Page : https://digitalsignage.jio.com/users/sign_in .
2.Now enter valid credentials and click on get otp.
3.Enter otp and click on submit otp.
.Click on reports drop down and select playlogs option.
5.Observe the Report management message on display.
6.Now click on generate report  option&gt;click Layout option&gt;custom report option &gt; click Media name .
7.Click display name field.
8.enter wrong display which is not available from suggested list.</t>
  </si>
  <si>
    <t>To verify start date in Media name page &gt;Generate Custom Report</t>
  </si>
  <si>
    <t>"1.Enter URL in address bar JioSignage  Sign In Page : https://digitalsignage.jio.com/users/sign_in .
2.Now enter valid credentials and click on get otp.
3.Enter otp and click on submit otp.
.Click on reports drop down and select playlogs option.
5.Now click on generate report  option&gt;click Layout option&gt;custom report option &gt; click Media name .
6.Click start date.
7.select any date.</t>
  </si>
  <si>
    <t>&gt; User should able to select the previous date without any issue.</t>
  </si>
  <si>
    <t>To verify end date in Media name page &gt;Generate Custom Report</t>
  </si>
  <si>
    <t>"1.Enter URL in address bar JioSignage  Sign In Page : https://digitalsignage.jio.com/users/sign_in .
2.Now enter valid credentials and click on get otp.
3.Enter otp and click on submit otp.
.Click on reports drop down and select playlogs option.
5.Now click on generate report  option&gt;click Layout option&gt;custom report option &gt; click Media name .
6.Click end date.
7.select any date.</t>
  </si>
  <si>
    <t>To verify functionality of send email option.</t>
  </si>
  <si>
    <t>"1.Enter URL in address bar JioSignage  Sign In Page : https://digitalsignage.jio.com/users/sign_in .
2.Now enter valid credentials and click on get otp.
3.Enter otp and click on submit otp.
.Click on reports drop down and select playlogs option.
5.Now click on generate report  option&gt;click Layout option&gt;custom report option &gt; click Media name .
6.enter Media name and display name.
7.select any date and end date.
8.Click send email.</t>
  </si>
  <si>
    <t>&gt; selected Media is valid ,means this pop up should come " Mail request generated successfully. You will receive email within next 24 hours"
&gt;selected wrong date or invalid Media means " No utilized found"</t>
  </si>
  <si>
    <t>To verify the behavior of information icon.</t>
  </si>
  <si>
    <t>"1.Enter URL in address bar JioSignage  Sign In Page : https://digitalsignage.jio.com/users/sign_in .
2.Now enter valid credentials and click on get otp.
3.Enter otp and click on submit otp.
.Click on reports drop down and select playlogs option.
5.Now click on generate report  option&gt;click Layout option&gt;custom report option &gt; click Media name .
6.place the mouse curser over information icon.</t>
  </si>
  <si>
    <t>&gt; Note - this report is applicable only to 'image and video slideshow object' should display.</t>
  </si>
  <si>
    <t>To verify deleted Media in reflected on Media name list &gt; Generate Custom Report</t>
  </si>
  <si>
    <t>"1.Enter URL in address bar JioSignage  Sign In Page : https://digitalsignage.jio.com/users/sign_in .
2.Now enter valid credentials and click on get otp.
3.Enter otp and click on submit otp.
.Click Media &gt; select any existing Media and delete completely.
5.Click on reports drop down and select playlogs option.
6.Now click on generate report  option&gt;click Layout option&gt;custom report option &gt; click Media name .
7.Select media name field and enter deleted Media name</t>
  </si>
  <si>
    <t>&gt;Deleted Media should not available on suggested list.</t>
  </si>
  <si>
    <t>To verify deleted display in reflected on Media name list &gt; Generate Custom Report</t>
  </si>
  <si>
    <t>"1.Enter URL in address bar JioSignage  Sign In Page : https://digitalsignage.jio.com/users/sign_in .
2.Now enter valid credentials and click on get otp.
3.Enter otp and click on submit otp.
.Click Media &gt; select any existing Media and delete completely.
5.Click on reports drop down and select playlogs option.
6.Now click on generate report  option&gt;click Layout option&gt;custom report option &gt; click Media name .
7.Select display name field and enter deleted Media name</t>
  </si>
  <si>
    <t>&gt; Deleted display should not available on suggested list.</t>
  </si>
  <si>
    <t>To verify user able to view and access the Media report by using sp user.</t>
  </si>
  <si>
    <t>"1.Enter URL in address bar JioSignage  Sign In Page : https://digitalsignage.jio.com/users/sign_in .
2.Now enter valid credentials of SP User and click on get otp.
3.Enter otp and click on submit otp.
4.Click on reports drop down and select playlogs option..
5.Now click on generate report  option&gt;click Layout option&gt;custom report option &gt; click Media name .
6.enter Media name and display name.
7.select any date and end date.
8.Click send email.</t>
  </si>
  <si>
    <t>&gt; User should able to get the Media report by Using SP user.</t>
  </si>
  <si>
    <t>To verify user able to view and access the Media report by using base user.</t>
  </si>
  <si>
    <t>"1.Enter URL in address bar JioSignage  Sign In Page : https://digitalsignage.jio.com/users/sign_in .
2.Now enter valid credentials of base account and click on get otp.
3.Enter otp and click on submit otp.
4.Click on reports drop down and select playlogs option.
6.Now click on generate report  option&gt;click Layout option&gt;custom report option &gt; click Media name .
7.enter Media name and display name.
8.select any date and end date.
9.Click send email.</t>
  </si>
  <si>
    <t>&gt; User should able to get the Media report by Using Base account.</t>
  </si>
  <si>
    <t>User activity log report:</t>
  </si>
  <si>
    <t>Verify user activity on User activity log page</t>
  </si>
  <si>
    <t>"1.Enter URL in address bar JioSignage  Sign In Page : https://digitalsignage.jio.com/users/sign_in .
2.Now enter valid credentials and click on get otp.
3.Enter otp and click on submit otp.
4.Create a display
5. Go to user activity log page and verify that user activity " Display created" with display name is listed</t>
  </si>
  <si>
    <t>User activity display created should be listed</t>
  </si>
  <si>
    <t>Emergency alerts</t>
  </si>
  <si>
    <t>time duration</t>
  </si>
  <si>
    <t>To verify time duration functionality in emergency alert.</t>
  </si>
  <si>
    <t>1.Launch JioSignage  Sign In Page : https://digitalsignage.jio.com/users/sign_in .
2.Login with valid credential.
3.Click Emergency alert.
4.Click time which is available on top right corner.</t>
  </si>
  <si>
    <t>Time duration dropdown should open.</t>
  </si>
  <si>
    <t>test_Opendropdown</t>
  </si>
  <si>
    <t>To verify select any time in time duration.</t>
  </si>
  <si>
    <t>1.Launch JioSignage  Sign In Page : https://digitalsignage.jio.com/users/sign_in .
2.Login with valid credential.
3.Click Emergency alert.
4.Click time which is available on top right corner&gt; select any time.</t>
  </si>
  <si>
    <t>User should select any time which are available on dropdown.</t>
  </si>
  <si>
    <t>test_selecttimeduration</t>
  </si>
  <si>
    <t>Delivery</t>
  </si>
  <si>
    <t>To verify Deliver functionality in emergency alert screen</t>
  </si>
  <si>
    <t>Pre-Requisite:- 
1. There should be existing display
Step:-
1.Launch JioSignage  Sign In Page : https://digitalsignage.jio.com/users/sign_in .
2.Login with valid credential.
3.Choose any template from emergency template list ( Heavy Rain , Building Maintenance &amp; Fire Alarm) .
4.Select any Template and select desired display.
5.Select time duration &gt; click deliver button</t>
  </si>
  <si>
    <t>Selected Emergency alert template should deliver to Display.</t>
  </si>
  <si>
    <t>Filter</t>
  </si>
  <si>
    <t>To verify filter icon functionality in emergency screen.</t>
  </si>
  <si>
    <t>1.Launch JioSignage  Sign In Page : https://digitalsignage.jio.com/users/sign_in .
2.Login with valid credential.
3.Click Emergency alert.
4.Click filter icon which is near to search bar.</t>
  </si>
  <si>
    <t>Search bar should appear on Display ID , display name , display state and display city.</t>
  </si>
  <si>
    <t>test_verifyfilter</t>
  </si>
  <si>
    <t>Sorting</t>
  </si>
  <si>
    <t>To verify sorting functionality in emergency alert.</t>
  </si>
  <si>
    <t>Pre-Requisite:-
1. There should be existing display.
Steps:-
1.Launch JioSignage  Sign In Page : https://digitalsignage.jio.com/users/sign_in .
2.Login with valid credential.
3. Click Emergency alert.
4.Click sort icon on Display Name , name , state and city.</t>
  </si>
  <si>
    <t>Ascending and descending sort should work properly.</t>
  </si>
  <si>
    <t>test_verifySorting</t>
  </si>
  <si>
    <t>Checkbox.</t>
  </si>
  <si>
    <t>To verify check box functionality in emergency alert screen.</t>
  </si>
  <si>
    <t>Pre-Requisite:-
1. There should be existing display.
Steps:-
1.Launch JioSignage  Sign In Page : https://digitalsignage.jio.com/users/sign_in .
2.Login with valid credential.
3.Click Emergency alert.
4.Select any display check box.</t>
  </si>
  <si>
    <t>Check box should enable and disable accordingly.</t>
  </si>
  <si>
    <t>test_clickoncheckbox</t>
  </si>
  <si>
    <t>Display state</t>
  </si>
  <si>
    <t>To verify Display state in emergency alert.</t>
  </si>
  <si>
    <t>Pre-Requisite:-
1. There should be existing display.
Step:-
1.Launch JioSignage  Sign In Page : https://digitalsignage.jio.com/users/sign_in .
2.Login with valid credential.
3.Click Emergency alert.
4.observe Display state.</t>
  </si>
  <si>
    <t>Display state should be available.</t>
  </si>
  <si>
    <t>test_verifydisplaystate</t>
  </si>
  <si>
    <t>Display city</t>
  </si>
  <si>
    <t>To verify Display city in emergency alert.</t>
  </si>
  <si>
    <t>Pre-Requisite:-
1. There should be existing display.
Step:-
1.Launch JioSignage  Sign In Page : https://digitalsignage.jio.com/users/sign_in .
2.Login with valid credential.
3.Click Emergency alert.
4..observe Display city.</t>
  </si>
  <si>
    <t>Display city should be available.</t>
  </si>
  <si>
    <t>test_verifydisplaycity</t>
  </si>
  <si>
    <t>Pages</t>
  </si>
  <si>
    <t>To verify Number of entries in Emergency alert screen</t>
  </si>
  <si>
    <t>Pre-Requisite:-
1. There should be existing display.
Step:-
1.Launch JioSignage  Sign In Page : https://digitalsignage.jio.com/users/sign_in .
2.Login with valid credential.
3.Click Emergency alert.
4.Click entries.</t>
  </si>
  <si>
    <t>test_Emgalert_20_50_100_200_500</t>
  </si>
  <si>
    <t>To verify choose Template in emergency alert.</t>
  </si>
  <si>
    <t>1.Launch JioSignage  Sign In Page : https://digitalsignage.jio.com/users/sign_in .
2.Login with valid credential.
3.Click emergency alert
4.Choose any Template and select</t>
  </si>
  <si>
    <t>User should able to select any Template (Building In Maintenance, heavy rain and Fire Alert)</t>
  </si>
  <si>
    <t>test_chooseanytemplate</t>
  </si>
  <si>
    <t>To verify user is able to edit emergency template from list of Emergency template and able to deliver to Display</t>
  </si>
  <si>
    <t>1.Launch JioSignage  Sign In Page : https://digitalsignage.jio.com/users/sign_in .
2.Login with valid credential.
3.Click emergency alert
4.Choose any template from emergency template list ( Heavy Rain , Building Maintenance &amp; Fire Alarm) and select edit icon.
5. Click on Edit Slide &gt; Edit the template and duration &gt; Click on Save &gt; Click on Close
6.Select the edited Template and select display.
5. Select time duration &gt; click deliver</t>
  </si>
  <si>
    <t>1) User should be able to edit and deliver the content to display
2) Time duration of the template should be updated</t>
  </si>
  <si>
    <t>test_verifyediticonBuildingMaintenance</t>
  </si>
  <si>
    <t>Heavy rain</t>
  </si>
  <si>
    <t>To verify edit icon in Heavy rain on Emergency alert.</t>
  </si>
  <si>
    <t>1.Launch JioSignage  Sign In Page : https://digitalsignage.jio.com/users/sign_in .
2.Login with valid credential.
3.Click content &gt; material&gt; upload raw material.
4.Click Content &gt; create content with approval.
5.Click emergency alert
6.Choose Building In Heavy rain and select edit icon.</t>
  </si>
  <si>
    <t>Heavy rain content edit page should open.</t>
  </si>
  <si>
    <t>test_verifyediticonHeavyrain()</t>
  </si>
  <si>
    <t>Fire alert</t>
  </si>
  <si>
    <t>To verify edit icon in Fire alert on Emergency alert.</t>
  </si>
  <si>
    <t>1.Launch JioSignage  Sign In Page : https://digitalsignage.jio.com/users/sign_in .
2.Login with valid credential.
3.Click content &gt; material&gt; upload raw material.
4.Click Content &gt; create content with approval.
5.Click emergency alert
6.Choose Building In Fire alert and select edit icon.</t>
  </si>
  <si>
    <t>Fire alert content edit page should open.</t>
  </si>
  <si>
    <t>test_verifyeditFireicon()</t>
  </si>
  <si>
    <t>Display ID</t>
  </si>
  <si>
    <t>To verify Display ID in emergency alert.</t>
  </si>
  <si>
    <t>1.Launch JioSignage  Sign In Page : https://digitalsignage.jio.com/users/sign_in .
2.Login with valid credential.
3.Click content &gt; material&gt; upload raw material.
4.Click Emergency alert.
5.observe Display ID.</t>
  </si>
  <si>
    <t>Correct Display ID should be available.</t>
  </si>
  <si>
    <t>test_verifyDisplayID</t>
  </si>
  <si>
    <t>Display Name</t>
  </si>
  <si>
    <t>To verify Display Name in emergency alert.</t>
  </si>
  <si>
    <t>1.Launch JioSignage  Sign In Page : https://digitalsignage.jio.com/users/sign_in .
2.Login with valid credential.
3.Click content &gt; material&gt; upload raw material.
4.Click Emergency alert.
5.observe Display Name.</t>
  </si>
  <si>
    <t>Correct Display Name should be available.</t>
  </si>
  <si>
    <t>test_verifyDisplayName</t>
  </si>
  <si>
    <t xml:space="preserve">Account </t>
  </si>
  <si>
    <t>Switch user</t>
  </si>
  <si>
    <t xml:space="preserve">Verify able to switch between head and base user </t>
  </si>
  <si>
    <t>1. Sign into JioSignage with valid credentials.
2.Observe the head user title at right top of the home screen on JioSignage.
3.Click on the head user name &gt; observe the pop up 'Switch to base account' &gt; click on it.
4.Observe the pop up
5. Search for a base and click on ok
6. Observe</t>
  </si>
  <si>
    <t>&gt;Select base account pop up should be observed with below options,
Search , ok and cancel option.
&gt; User should be able to switch to base account</t>
  </si>
  <si>
    <t>Negative Scenario</t>
  </si>
  <si>
    <t>STB shutdown</t>
  </si>
  <si>
    <t>Verify that user is able to deliver content when display (STB) is shutdown</t>
  </si>
  <si>
    <t>Prerequisite:-
1. Media should be uploaded to Jio Signage
2. Content should be created using uploaded media.
3. Content/ Playlist should be added to schedule.
4. Existing display should be available
Step:-
1. Shutdown the STB
2. Sign_in into Jio Signage with valid credentials.
3. Deliver the schedule to display.
4.Observe.
5. Switch on the STB after 4-5 mins and observe the display</t>
  </si>
  <si>
    <t>1. Schedule delivered successfully notification should be observed
2. Content should be observed on the display after the STB is switched on</t>
  </si>
  <si>
    <t>Delete</t>
  </si>
  <si>
    <t>Check what happens if we remove / delete created display &amp; reboot device while display is running a schedule , verify that schedule still runs or not</t>
  </si>
  <si>
    <t>Prerequisite:-
1. Media should be uploaded to Jio Signage
2. Content should be created using uploaded media.
3. Content/ Playlist should be added to schedule.
4. Existing display should be available
Step:-
1.Signin into Jio Signage with valid credentials.
2. Deliver the schedule to display.
3. Observe the display
4. Delete the display
5. Reboot the STB and check</t>
  </si>
  <si>
    <t>1.Display id is deleted message should be displayed
2. User should be redirected to login page</t>
  </si>
  <si>
    <t>Check Schedule is running and we change display password</t>
  </si>
  <si>
    <t>Prerequisite:-
1. Media should be uploaded to Jio Signage
2. Content should be created using uploaded media.
3. Content/ Playlist should be added to schedule.
4. Existing display should be available
Step:-
1.Signin into Jio Signage with valid credentials.
2. Deliver the schedule to display.
3. Observe the display
4. Now change password using the change password button which is available under Action
5. Observe the display</t>
  </si>
  <si>
    <t>1.Display id password is changed message should be displayed
2. User should be redirected to login page</t>
  </si>
  <si>
    <t>Check display behaviour when user Edit display and change display location/name/city</t>
  </si>
  <si>
    <t>Prerequisite:-
1. Media should be uploaded to Jio Signage
2. Content should be created using uploaded media.
3. Content/ Playlist should be added to schedule.
4. Existing display should be available
Steps:-
1.Signin into Jio Signage with valid credentials.
2 Deliver the schedule to display.
3. Observe the display
4. Now edit the display using the edit display button which is available under Action
5. Observe the display</t>
  </si>
  <si>
    <t>1. Display was successfully edited notification should be displayed 
2. User should be able to edit the display</t>
  </si>
  <si>
    <t>Check display behaviour when we delete schedule while display is running same schedule</t>
  </si>
  <si>
    <t>Prerequisite:-
1. Media should be uploaded to Jio Signage
2. Content should be created using uploaded media.
3. Content/ Playlist should be added to schedule.
4. Existing display should be available
Steps:
1.Signin into Jio Signage with valid credentials.
2.  Deliver the schedule to display.
3. Observe the display
4. Now delete the schedule using the delete schedule button which is available under Action
5.Navigate to Display Status &gt; Select the display and click on Sync
6. Observe the display
7. Now click on Deliver instantly and Observe the display</t>
  </si>
  <si>
    <t xml:space="preserve">1.Content should not be played on Display
2. No Content available to play message should be displayed 
</t>
  </si>
  <si>
    <t>Check Logs and display behavior when we delete content while display is running same schedule</t>
  </si>
  <si>
    <t>Prerequisite:-
1. Media should be uploaded to Jio Signage
2. Content should be created using uploaded media.
3. Content/ Playlist should be added to schedule.
4. Existing display should be available
Steps:
1. Sign_in into Jio Signage with valid credentials.
2. Deliver the schedule to display.
3. Observe the display
4. Now delete the content while schedule is playing 
5.Navigate to Display Status &gt; Select the display and click on Sync
6. Observe the display
7. Now click on Deliver instantly and Observe the display
8 . Check Play logs</t>
  </si>
  <si>
    <t>Content should stop play after sync and If content is not playing , no play log should get generated</t>
  </si>
  <si>
    <t>Wi-Fi</t>
  </si>
  <si>
    <t xml:space="preserve">Connect - Disconnect - Connect - Wi-Fi </t>
  </si>
  <si>
    <t>Check user is able to deliver content after Wi-Fi connects back</t>
  </si>
  <si>
    <t>Prerequisite:-
1. Media should be uploaded to Jio Signage
2. Content should be created using uploaded media.
3. Content/ Playlist should be added to schedule.
4. Existing display should be available
Steps:-
1. Launch JioSignage.
2. Login with valid credentials.
3. Deliver schedule to display.
4. Verify content is playing  on display.
5. Disconnect Wi-Fi of display.
6. Verify that content is  playing on the display.
7. Modify content and again deliver schedule to display
8. Connect Wi-Fi of display.
9. Verify content is start playing on the display</t>
  </si>
  <si>
    <t>Schedule should get deliver after Wi-Fi disconnect and connect activity</t>
  </si>
  <si>
    <t xml:space="preserve">Boot - Reboot - Display </t>
  </si>
  <si>
    <t>Check user is able to deliver content after device reboot and connect to Wi-Fi</t>
  </si>
  <si>
    <t>Prerequisite:-
1. Media should be uploaded to Jio Signage
2. Content should be created using uploaded media.
3. Content/ Playlist should be added to schedule.
4. Existing display should be available
Steps:-
1. Launch JioSignage.
2. Login in JioSignage with valid credentials
3. Deliver schedule to display.
4. Verify content is playing  on display.
5. Reboot display
6. Observe</t>
  </si>
  <si>
    <t>Verify that content is start playing on the display after display reboot</t>
  </si>
  <si>
    <t>Sleep</t>
  </si>
  <si>
    <t xml:space="preserve">Sleep - Wake up - Display </t>
  </si>
  <si>
    <t>Check delivered content is  displaying after device wakes up from sleep mode</t>
  </si>
  <si>
    <t>Prerequisite:-
1. Media should be uploaded to Jio Signage
2. Content should be created using uploaded media.
3. Content/ Playlist should be added to schedule.
4. Existing display should be available
Steps:-
1. Launch JioSignage.
2. Login in JioSignage with valid credentials.
3. Deliver schedule to display.
4..Verify content is playing  on display.
5. Switch the device to sleep mode
6. Wake up the device from sleep mode
7. Observe</t>
  </si>
  <si>
    <t>Schedule should keep playing after devices wakes up from sleep mode</t>
  </si>
  <si>
    <t>Switch off</t>
  </si>
  <si>
    <t xml:space="preserve">Switch on- Switch off-Monitor </t>
  </si>
  <si>
    <t>Check delivered content is continuously displaying after monitor is switched on/off</t>
  </si>
  <si>
    <t>Prerequisite:-
1. Media should be uploaded to Jio Signage
2. Content should be created using uploaded media.
3. Content/ Playlist should be added to schedule.
4. Existing display should be available
Steps:-
1. Launch JioSignage.
2. Login in JioSignage using correct credentials.
3. Deliver schedule to display.
4. Verify content is playing  on display.
5. Switch off the monitor
6. Switch on the monitor
7. Observe</t>
  </si>
  <si>
    <t>Schedule should keep playing after monitor is switched on</t>
  </si>
  <si>
    <t>No Internet schedule status</t>
  </si>
  <si>
    <t>Deliver schedule and remove internet</t>
  </si>
  <si>
    <t>Check that delivered content keep running until schedule time is not get over and play log should not report until internet gets back</t>
  </si>
  <si>
    <t>Prerequisite:-
1. Media should be uploaded to Jio Signage
2. Content should be created using uploaded media.
3. Content/ Playlist should be added to schedule.
4. Existing display should be available
Steps:-
1. Launch JioSignage.
2. Login in JioSignage with valid credential
3. Deliver schedule to display.
4. Verify content is playing  on display.
5. Remove Ethernet cable / Wi-Fi off
6. Verify played content on Display
7. Observe the playlog</t>
  </si>
  <si>
    <t>Content should keep playing until schedule time get over . Play log should not print any log of played content while STB is in no Wi-Fi/internet. Once STB gets internet , all previous run logs should get populated in play log section</t>
  </si>
  <si>
    <t>No Internet &amp; reboot client</t>
  </si>
  <si>
    <t>Deliver schedule and remove internet &amp; then reboot , check STB display and Play log</t>
  </si>
  <si>
    <t>Check that delivered content when no internet and reboot</t>
  </si>
  <si>
    <t>Prerequisite:-
1. Media should be uploaded to Jio Signage
2. Content should be created using uploaded media.
3. Content/ Playlist should be added to schedule.
4. Existing display should be available
Steps:-
1. Launch JioSignage.
2. Login in JioSignage with valid credential.
3. Deliver schedule to display.
4. Verify content is playing  on display.
5. Remove Ethernet cable / Wi-Fi off
6 .Reboot STB client
7. Connect to Wi-Fi
8. Verify played content on STB
9.  Observe the playlog</t>
  </si>
  <si>
    <t>content should play in no internet connection. If we reboot , then again content should start play after reboot. play log should only appear when device comes back to internet</t>
  </si>
  <si>
    <t>Assignment</t>
  </si>
  <si>
    <t>Stress</t>
  </si>
  <si>
    <t>To verify PDF format file layout displaying continuous on TV or monitor for 12 Hrs.</t>
  </si>
  <si>
    <t>1.Launch JioSignage  Sign In Page : https://digitalsignage.jio.com/users/sign_in .
2.Login with valid credential.
3.Click layout &gt; material&gt; upload raw material.
4.Click layout &gt; create text layout with approval.
6.Create schedule for 12Hrs.
7.Delivery to display.</t>
  </si>
  <si>
    <t>To verify PPT format file layout displaying continuous on TV or monitor for 12 Hrs.</t>
  </si>
  <si>
    <t>To verify PPTX format file layout displaying continuous on TV or monitor for 12 Hrs.</t>
  </si>
  <si>
    <t>To verify .DOCX format file layout displaying continuous on TV or monitor for 12 Hrs.</t>
  </si>
  <si>
    <t>Create a playlist with all different Images format , Video Formate List of format : JPEG , PNG , GIF , JFIF , MP4 , MOV , WebM, MP3 , OGG , WAVE)</t>
  </si>
  <si>
    <t>1.Launch JioSignage  Sign In Page : https://digitalsignage.jio.com/users/sign_in .
2.Login with valid credential.
3.Click layout &gt; material&gt; upload raw material.
4.Click layout &gt; create image/video  layout with approval.
5Create a playlist with all different Images format , Video Formate List of format : JPEG , PNG , GIF , JFIF , MP4 , MOV , WebM, MP3 , OGG , WAVE) ,
6-Create schedule for 12Hrs. &amp;Delivery to display.</t>
  </si>
  <si>
    <t>Create All supported objects in a single slide  and deliver to display and run for 24 hrs</t>
  </si>
  <si>
    <t>1.Launch JioSignage  Sign In Page : https://digitalsignage.jio.com/users/sign_in .
2.Login with valid credential.
3.Click layout &gt; Media&gt; upload raw material.
4.Click layout &gt; create single slide with max object supported in it.
6.Create schedule for 24  hrs.
7.Delivery to display.</t>
  </si>
  <si>
    <t>Add triggered layout  to the display and run for 24 hrs</t>
  </si>
  <si>
    <t xml:space="preserve">1.Launch JioSignage  Sign In Page : https://digitalsignage.jio.com/users/sign_in .
2.Login with valid credential.
3.Deliver any layout Schedule to the display for 24 Hours(All day) duration.
4.Go to schedules &gt;Click on delivered schedule &gt;click on add trigger option.
4.enter trigger name.
5. Select layout &gt; select the layout from the dropdown wats to trigger to the display.
6.Select Preferences - Daily./Repetition -Select 'Yes'. &gt; Select repeated at time -1 Minutes.
7. Add schedule for trigger - Start date , End date , Start time , End Time.
8. Click on Add to complete.
9.Observe Triggered layout on the display during the schedule for every 1 minutes for selected time interval.
10.Delivery to display.
</t>
  </si>
  <si>
    <t>Add triggered playlist to the display and run for 24 hrs</t>
  </si>
  <si>
    <t>1.Launch JioSignage  Sign In Page : https://digitalsignage.jio.com/users/sign_in .
2.Login with valid credential.
3.Click layout &gt; material&gt; upload raw material. &amp; Create a playlist
2.Go to schedules &gt;Click on delivered schedule &gt;click on add trigger option.
3.enter trigger name.
4. Select Playlist &gt; select the Playlist from the dropdown wats to trigger to the display.
5.Select Preferences - Daily./Repetition -Select 'Yes'. &gt; Select repeated at time -5 Minutes.
7. Add schedule for trigger - Start date , End date , Start time , End Time.
8. Click on Add to complete.
9.Observe Triggered playlist on the display during the schedule for every 5 minutes for selected time interval.
10.Delivery to display.</t>
  </si>
  <si>
    <t>Schedule to play 2 Sub Playlist overnight --&gt;
 [ Sub Playlist 1 : Day 1 - evening 06:00 PM to 11:30 PM
Sub Playlist 2
:Day 2 - 12:30 AM Morning 10:00 AM)
 [Sub Playlist consist of Image , Audio , Video , Doc as supported ]</t>
  </si>
  <si>
    <t>1.Launch JioSignage  Sign In Page : https://digitalsignage.jio.com/users/sign_in .
2.Login with valid credential.
3.Click layout &gt; material&gt; upload raw material.
4.Click layout &gt; create image/video  layout with approval.
5. Create a subplay list (with content &amp; playlist)
6-Schedule to play 2 Sub Playlist overnight --&gt;
 [ Sub Playlist 1 : Day 1 - evening 06:00 PM to 11:30 PM
Sub Playlist 2
:Day 2 - 12:30 AM Morning 10:00 AM)
 [Sub Playlist consist of Image , Audio , Video , Doc as supported ]
8.Delivery to display.</t>
  </si>
  <si>
    <t>Schedule to play 2 SmartPlaylist overnight --&gt;
[ SmartPlaylist 1 : Day 1 - evening 06:00 PM to 11:30 PM &amp;
 SmartPlaylist 2 :Day 2 - 12:30 AM Morning 10:00 AM)
 [SmartPlaylist consist of Image , Audio , Video , Doc supported ]</t>
  </si>
  <si>
    <t>1.Launch JioSignage  Sign In Page : https://digitalsignage.jio.com/users/sign_in .
2.Login with valid credential.
3.Click layout &gt; material&gt; upload raw material.
4.Click layout &gt; create image/video  layout with approval.
5. Create a smart play list 
6.Schedule to play Smart Playlist overnight --&gt;
7-Schedule to play 2 SmartPlaylist overnight --&gt;
[ SmartPlaylist 1 : Day 1 - evening 06:00 PM to 11:30 PM &amp;
 SmartPlaylist 2 :Day 2 - 12:30 AM Morning 10:00 AM)
 [SmartPlaylist consist of Image , Audio , Video , Doc supported ]
8.Delivery to display.</t>
  </si>
  <si>
    <t>Schedule to play 2 Playlist overnight --&gt;
[ Playlist 1 : Day 1 - evening 06:00 PM to 11:30 PM .
[ Playlist 2 : Day 2 - 12:30 AM Morning 10:00 AM) [Playlist consist of Image , Audio , Video , Doc as supported ]</t>
  </si>
  <si>
    <t>1.Launch JioSignage  Sign In Page : https://digitalsignage.jio.com/users/sign_in .
2.Login with valid credential.
3.Click layout &gt; material&gt; upload raw material.
4.Click layout &gt; create image/video  layout with approval.
5. Create a smart play list 
6.Schedule to play Playlist overnight --&gt;
[ Playlist 1 : Day 1 - evening 06:00 PM to 11:30 PM .
[ Playlist 2 : Day 2 - 12:30 AM Morning 10:00 AM) [Playlist consist of Image , Audio , Video , Doc as supported ]
7.Create schedule for 12Hrs.
8.Delivery to display.</t>
  </si>
  <si>
    <t>Create a playlist with all available supported  Objects in run for 24 hrs</t>
  </si>
  <si>
    <t>1.Launch JioSignage  Sign In Page : https://digitalsignage.jio.com/users/sign_in .
2.Login with valid credential.
3.Click layout 1 -&gt; Text Object , layout 1 -&gt; Image , layout 3 -&gt; video , layout 4 -&gt; moving text , layout 5 -&gt; RSS FEED , Layout 6 -&gt; Youtube , Layout 7 -&gt; Google , Layout 8 -&gt; Shape , Layout 9 -&gt; JioSaavn , Layout 10 -&gt; Instagram , Layout 11-&gt; Cricket , Layout 12 -&gt; Facebook , Layout 13 -&gt; External Web Page , Layout 14 -&gt; Clock , Layout 15 -&gt; Facebook .
4. Create a Playlist with these 14 layouts.
5. Create a schedule with this playlist and delive to display for overnight (12 hrs)</t>
  </si>
  <si>
    <t>Create a split template layout having 3 objects Image, Thomas cook and Video</t>
  </si>
  <si>
    <t>1.Launch JioSignage  Sign In Page : https://sit2.jiosignage.jio.com/v2/displays/179343
2.Login with valid credential.
3. Create a split template having 3 objects Image, Thomas cook and Video
5. Create a schedule with thisLayout and delive to display for weekend</t>
  </si>
  <si>
    <t>Create a Display having 'Customization On/Off'  and 'Holidays' options are enabled.</t>
  </si>
  <si>
    <t>1. Open chrome browser and click on search bar.</t>
  </si>
  <si>
    <t>2. Type JioSignage URL : https://digitalsignage.jio.com/users/sign_in.</t>
  </si>
  <si>
    <t>3. Login with valid credentials.</t>
  </si>
  <si>
    <t>4. Navigate to the Displays and click on it.</t>
  </si>
  <si>
    <t>5. For Long Run need to fill this type of data ...........Select a display &gt; Then choose the 'Customize On/Off' option &gt; Select 'Custom' and specify the Off date (e.g., 22-05-2025) and Off time (e.g., 19:00).</t>
  </si>
  <si>
    <t>6. Then Specify the On date (e.g., 23-05-2025) and On time (e.g., 10:30).</t>
  </si>
  <si>
    <t>7. Then, select the 'Repeat' checkbox for all days (Sun, MON, TUE, WED, THU, FRI, SAT).</t>
  </si>
  <si>
    <t>8. Then, Select Choose Holiday's Option (e.g.,  2025-05-24) and Save.</t>
  </si>
  <si>
    <t>9. Observe the 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</si>
</sst>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font>
      <sz val="11"/>
      <color theme="1"/>
      <name val="Calibri"/>
      <charset val="134"/>
      <scheme val="minor"/>
    </font>
    <font>
      <sz val="11"/>
      <color theme="1"/>
      <name val="Calibri"/>
      <family val="2"/>
      <scheme val="minor"/>
    </font>
    <font>
      <sz val="11"/>
      <color theme="1"/>
      <name val="Calibri"/>
      <family val="2"/>
      <scheme val="minor"/>
    </font>
    <font>
      <sz val="10"/>
      <color theme="1"/>
      <name val="Calibri"/>
      <family val="2"/>
      <scheme val="minor"/>
    </font>
    <font>
      <b/>
      <sz val="11"/>
      <name val="Calibri"/>
      <family val="2"/>
    </font>
    <font>
      <b/>
      <sz val="11"/>
      <color theme="1"/>
      <name val="Calibri"/>
      <family val="2"/>
      <scheme val="minor"/>
    </font>
    <font>
      <sz val="10"/>
      <color rgb="FF000000"/>
      <name val="Calibri"/>
      <family val="2"/>
    </font>
    <font>
      <sz val="10"/>
      <color rgb="FF000000"/>
      <name val="Calibri"/>
      <family val="2"/>
      <scheme val="minor"/>
    </font>
    <font>
      <u/>
      <sz val="11"/>
      <color rgb="FFFF0000"/>
      <name val="Calibri"/>
      <family val="2"/>
      <scheme val="minor"/>
    </font>
    <font>
      <sz val="11"/>
      <color rgb="FF000000"/>
      <name val="Calibri"/>
      <family val="2"/>
    </font>
    <font>
      <b/>
      <sz val="10"/>
      <color theme="1"/>
      <name val="Calibri"/>
      <family val="2"/>
      <scheme val="minor"/>
    </font>
    <font>
      <sz val="11"/>
      <color rgb="FF000000"/>
      <name val="Calibri"/>
      <family val="2"/>
      <scheme val="minor"/>
    </font>
    <font>
      <sz val="10"/>
      <color rgb="FFFF0000"/>
      <name val="Calibri"/>
      <family val="2"/>
      <scheme val="minor"/>
    </font>
    <font>
      <sz val="11"/>
      <color rgb="FFFF0000"/>
      <name val="Calibri"/>
      <family val="2"/>
      <scheme val="minor"/>
    </font>
    <font>
      <sz val="10"/>
      <color rgb="FFFF0000"/>
      <name val="Calibri"/>
      <family val="2"/>
    </font>
    <font>
      <b/>
      <sz val="11"/>
      <color rgb="FF000000"/>
      <name val="Calibri"/>
      <family val="2"/>
    </font>
    <font>
      <sz val="11"/>
      <color rgb="FF444444"/>
      <name val="Calibri"/>
      <family val="2"/>
    </font>
    <font>
      <sz val="11"/>
      <color rgb="FFFF0000"/>
      <name val="Calibri"/>
      <family val="2"/>
    </font>
    <font>
      <b/>
      <sz val="11"/>
      <color rgb="FF000000"/>
      <name val="Calibri"/>
      <family val="2"/>
      <scheme val="minor"/>
    </font>
    <font>
      <sz val="11"/>
      <color rgb="FF242424"/>
      <name val="Aptos Narrow"/>
      <charset val="134"/>
    </font>
    <font>
      <b/>
      <sz val="11"/>
      <name val="Calibri"/>
      <family val="2"/>
      <scheme val="minor"/>
    </font>
    <font>
      <sz val="11"/>
      <color rgb="FF000000"/>
      <name val="Aptos Narrow"/>
      <charset val="1"/>
    </font>
    <font>
      <sz val="11"/>
      <color rgb="FFFF0000"/>
      <name val="Aptos Narrow"/>
      <charset val="1"/>
    </font>
    <font>
      <sz val="11"/>
      <color theme="1"/>
      <name val="Calibri"/>
      <family val="2"/>
    </font>
    <font>
      <sz val="11"/>
      <color theme="1"/>
      <name val="Aptos Narrow"/>
      <charset val="1"/>
    </font>
    <font>
      <b/>
      <sz val="10"/>
      <color rgb="FF000000"/>
      <name val="Calibri"/>
      <family val="2"/>
    </font>
    <font>
      <sz val="10"/>
      <color theme="1"/>
      <name val="Calibri Light"/>
      <family val="2"/>
      <scheme val="major"/>
    </font>
    <font>
      <sz val="11"/>
      <color rgb="FF000000"/>
      <name val="Calibri Light"/>
      <family val="2"/>
      <scheme val="major"/>
    </font>
    <font>
      <u/>
      <sz val="11"/>
      <color theme="10"/>
      <name val="Calibri"/>
      <family val="2"/>
      <scheme val="minor"/>
    </font>
    <font>
      <sz val="11"/>
      <color theme="1"/>
      <name val="Calibri"/>
      <family val="2"/>
      <scheme val="minor"/>
    </font>
    <font>
      <sz val="11"/>
      <color rgb="FF000000"/>
      <name val="Courier New"/>
      <family val="3"/>
    </font>
    <font>
      <sz val="11"/>
      <name val="Calibri"/>
      <family val="2"/>
      <scheme val="minor"/>
    </font>
    <font>
      <u/>
      <sz val="11"/>
      <name val="Calibri"/>
      <family val="2"/>
      <scheme val="minor"/>
    </font>
    <font>
      <b/>
      <sz val="10"/>
      <color rgb="FF1E4E79"/>
      <name val="Calibri"/>
      <family val="2"/>
    </font>
    <font>
      <b/>
      <sz val="10"/>
      <color rgb="FF002060"/>
      <name val="Calibri"/>
      <family val="2"/>
    </font>
    <font>
      <b/>
      <sz val="10"/>
      <color rgb="FFFF0000"/>
      <name val="Calibri"/>
      <family val="2"/>
    </font>
    <font>
      <sz val="10"/>
      <color rgb="FF444444"/>
      <name val="Calibri"/>
      <family val="2"/>
    </font>
    <font>
      <sz val="10"/>
      <color rgb="FF000000"/>
      <name val="Calibri"/>
      <family val="2"/>
      <charset val="134"/>
      <scheme val="minor"/>
    </font>
    <font>
      <sz val="12"/>
      <color theme="1"/>
      <name val="Calibri"/>
      <family val="2"/>
      <scheme val="minor"/>
    </font>
    <font>
      <sz val="12"/>
      <color rgb="FF000000"/>
      <name val="Calibri"/>
      <family val="2"/>
      <scheme val="minor"/>
    </font>
    <font>
      <sz val="12"/>
      <color rgb="FF000000"/>
      <name val="Calibri"/>
      <family val="2"/>
    </font>
    <font>
      <sz val="11"/>
      <color rgb="FFFF0000"/>
      <name val="Calibri"/>
      <family val="2"/>
      <scheme val="minor"/>
    </font>
    <font>
      <sz val="10"/>
      <color theme="1"/>
      <name val="Calibri"/>
      <family val="2"/>
      <charset val="134"/>
      <scheme val="minor"/>
    </font>
    <font>
      <sz val="11"/>
      <color rgb="FF000000"/>
      <name val="Calibri"/>
      <family val="2"/>
      <charset val="134"/>
      <scheme val="minor"/>
    </font>
    <font>
      <sz val="11"/>
      <color rgb="FF000000"/>
      <name val="Calibri"/>
      <family val="2"/>
      <scheme val="minor"/>
    </font>
  </fonts>
  <fills count="10">
    <fill>
      <patternFill patternType="none"/>
    </fill>
    <fill>
      <patternFill patternType="gray125"/>
    </fill>
    <fill>
      <patternFill patternType="solid">
        <fgColor rgb="FFC6E0B4"/>
        <bgColor rgb="FF000000"/>
      </patternFill>
    </fill>
    <fill>
      <patternFill patternType="solid">
        <fgColor theme="0"/>
        <bgColor indexed="64"/>
      </patternFill>
    </fill>
    <fill>
      <patternFill patternType="solid">
        <fgColor rgb="FFFFFFFF"/>
        <bgColor rgb="FF000000"/>
      </patternFill>
    </fill>
    <fill>
      <patternFill patternType="solid">
        <fgColor theme="9" tint="0.59999389629810485"/>
        <bgColor rgb="FF000000"/>
      </patternFill>
    </fill>
    <fill>
      <patternFill patternType="solid">
        <fgColor rgb="FFFFFFFF"/>
        <bgColor indexed="64"/>
      </patternFill>
    </fill>
    <fill>
      <patternFill patternType="solid">
        <fgColor theme="9" tint="0.59999389629810485"/>
        <bgColor rgb="FFF4B083"/>
      </patternFill>
    </fill>
    <fill>
      <patternFill patternType="solid">
        <fgColor theme="0"/>
        <bgColor rgb="FFF4B083"/>
      </patternFill>
    </fill>
    <fill>
      <patternFill patternType="solid">
        <fgColor theme="9" tint="0.59999389629810485"/>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auto="1"/>
      </left>
      <right/>
      <top style="thin">
        <color auto="1"/>
      </top>
      <bottom style="thin">
        <color auto="1"/>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000000"/>
      </left>
      <right/>
      <top/>
      <bottom style="thin">
        <color rgb="FF000000"/>
      </bottom>
      <diagonal/>
    </border>
    <border>
      <left/>
      <right/>
      <top style="thin">
        <color auto="1"/>
      </top>
      <bottom style="thin">
        <color auto="1"/>
      </bottom>
      <diagonal/>
    </border>
    <border>
      <left/>
      <right style="thin">
        <color rgb="FF000000"/>
      </right>
      <top style="thin">
        <color rgb="FF000000"/>
      </top>
      <bottom/>
      <diagonal/>
    </border>
    <border>
      <left/>
      <right style="thin">
        <color auto="1"/>
      </right>
      <top style="thin">
        <color auto="1"/>
      </top>
      <bottom style="thin">
        <color auto="1"/>
      </bottom>
      <diagonal/>
    </border>
  </borders>
  <cellStyleXfs count="3">
    <xf numFmtId="0" fontId="0" fillId="0" borderId="0"/>
    <xf numFmtId="9" fontId="29" fillId="0" borderId="0"/>
    <xf numFmtId="0" fontId="28" fillId="0" borderId="0"/>
  </cellStyleXfs>
  <cellXfs count="321">
    <xf numFmtId="0" fontId="0" fillId="0" borderId="0" xfId="0"/>
    <xf numFmtId="0" fontId="3" fillId="0" borderId="0" xfId="0" applyFont="1" applyAlignment="1">
      <alignment horizontal="center" vertical="center" wrapText="1"/>
    </xf>
    <xf numFmtId="0" fontId="3" fillId="0" borderId="0" xfId="0" applyFont="1" applyAlignment="1">
      <alignment horizontal="left" vertical="center" wrapText="1"/>
    </xf>
    <xf numFmtId="0" fontId="4" fillId="2" borderId="1" xfId="0" applyFont="1" applyFill="1" applyBorder="1" applyAlignment="1">
      <alignment horizontal="center" vertical="top" wrapText="1"/>
    </xf>
    <xf numFmtId="0" fontId="6" fillId="0" borderId="1" xfId="0" applyFont="1" applyBorder="1" applyAlignment="1">
      <alignment vertical="top" wrapText="1"/>
    </xf>
    <xf numFmtId="0" fontId="8" fillId="0" borderId="1" xfId="2" applyFont="1" applyBorder="1" applyAlignment="1">
      <alignment vertical="top" wrapText="1"/>
    </xf>
    <xf numFmtId="0" fontId="3" fillId="0" borderId="1" xfId="0" applyFont="1" applyBorder="1" applyAlignment="1">
      <alignment horizontal="center" vertical="center" wrapText="1"/>
    </xf>
    <xf numFmtId="0" fontId="0" fillId="0" borderId="1" xfId="0" applyBorder="1" applyAlignment="1">
      <alignment horizontal="left" vertical="top"/>
    </xf>
    <xf numFmtId="0" fontId="6" fillId="0" borderId="0" xfId="0" applyFont="1" applyAlignment="1">
      <alignment horizontal="left" vertical="center" wrapText="1"/>
    </xf>
    <xf numFmtId="0" fontId="0" fillId="0" borderId="1" xfId="0" applyBorder="1" applyAlignment="1">
      <alignment horizontal="left" vertical="top" wrapText="1"/>
    </xf>
    <xf numFmtId="0" fontId="6" fillId="0" borderId="1" xfId="0" applyFont="1" applyBorder="1" applyAlignment="1">
      <alignment wrapText="1"/>
    </xf>
    <xf numFmtId="0" fontId="9" fillId="0" borderId="1" xfId="0" applyFont="1" applyBorder="1" applyAlignment="1">
      <alignment wrapText="1"/>
    </xf>
    <xf numFmtId="0" fontId="0" fillId="0" borderId="0" xfId="0" applyAlignment="1">
      <alignment horizontal="center" vertical="center" wrapText="1"/>
    </xf>
    <xf numFmtId="0" fontId="0" fillId="3" borderId="0" xfId="0" applyFill="1" applyAlignment="1">
      <alignment horizontal="left" vertical="center" wrapText="1"/>
    </xf>
    <xf numFmtId="0" fontId="0" fillId="0" borderId="0" xfId="0" applyAlignment="1">
      <alignment horizontal="left" vertical="center" wrapText="1"/>
    </xf>
    <xf numFmtId="0" fontId="3" fillId="0" borderId="1" xfId="0" applyFont="1" applyBorder="1" applyAlignment="1">
      <alignment vertical="top" wrapText="1"/>
    </xf>
    <xf numFmtId="0" fontId="3" fillId="3" borderId="1" xfId="0" applyFont="1" applyFill="1" applyBorder="1" applyAlignment="1">
      <alignment vertical="top" wrapText="1"/>
    </xf>
    <xf numFmtId="0" fontId="6" fillId="3" borderId="1" xfId="0" applyFont="1" applyFill="1" applyBorder="1" applyAlignment="1">
      <alignment vertical="top" wrapText="1"/>
    </xf>
    <xf numFmtId="0" fontId="7" fillId="0" borderId="1" xfId="0" applyFont="1" applyBorder="1" applyAlignment="1">
      <alignment vertical="top" wrapText="1"/>
    </xf>
    <xf numFmtId="0" fontId="11" fillId="0" borderId="1" xfId="2" applyFont="1" applyBorder="1" applyAlignment="1">
      <alignment vertical="top" wrapText="1"/>
    </xf>
    <xf numFmtId="0" fontId="6" fillId="0" borderId="2" xfId="0" applyFont="1" applyBorder="1" applyAlignment="1">
      <alignment wrapText="1"/>
    </xf>
    <xf numFmtId="0" fontId="6" fillId="4" borderId="2" xfId="0" applyFont="1" applyFill="1" applyBorder="1" applyAlignment="1">
      <alignment wrapText="1"/>
    </xf>
    <xf numFmtId="0" fontId="13" fillId="0" borderId="1" xfId="0" applyFont="1" applyBorder="1" applyAlignment="1">
      <alignment vertical="top" wrapText="1"/>
    </xf>
    <xf numFmtId="0" fontId="14" fillId="0" borderId="2" xfId="0" applyFont="1" applyBorder="1" applyAlignment="1">
      <alignment wrapText="1"/>
    </xf>
    <xf numFmtId="0" fontId="4" fillId="5" borderId="1" xfId="0" applyFont="1" applyFill="1" applyBorder="1" applyAlignment="1">
      <alignment horizontal="left" vertical="top" wrapText="1"/>
    </xf>
    <xf numFmtId="0" fontId="15" fillId="5" borderId="1" xfId="0" applyFont="1" applyFill="1" applyBorder="1" applyAlignment="1">
      <alignment horizontal="left" vertical="top" wrapText="1"/>
    </xf>
    <xf numFmtId="0" fontId="18" fillId="2" borderId="1" xfId="0" applyFont="1" applyFill="1" applyBorder="1" applyAlignment="1">
      <alignment horizontal="left" vertical="top" wrapText="1"/>
    </xf>
    <xf numFmtId="0" fontId="9" fillId="3" borderId="1" xfId="0" applyFont="1" applyFill="1" applyBorder="1" applyAlignment="1">
      <alignment horizontal="left" vertical="top" wrapText="1"/>
    </xf>
    <xf numFmtId="0" fontId="9" fillId="3" borderId="3" xfId="0" applyFont="1" applyFill="1" applyBorder="1" applyAlignment="1">
      <alignment horizontal="left" vertical="top" wrapText="1"/>
    </xf>
    <xf numFmtId="0" fontId="11" fillId="0" borderId="1" xfId="0" applyFont="1" applyBorder="1" applyAlignment="1">
      <alignment horizontal="left" vertical="top" wrapText="1"/>
    </xf>
    <xf numFmtId="0" fontId="11" fillId="0" borderId="3" xfId="0" applyFont="1"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xf>
    <xf numFmtId="0" fontId="0" fillId="0" borderId="4" xfId="0" applyBorder="1" applyAlignment="1">
      <alignment horizontal="left" vertical="top" wrapText="1"/>
    </xf>
    <xf numFmtId="0" fontId="9" fillId="0" borderId="4" xfId="0" applyFont="1" applyBorder="1" applyAlignment="1">
      <alignment horizontal="left" vertical="top" wrapText="1"/>
    </xf>
    <xf numFmtId="0" fontId="0" fillId="0" borderId="5" xfId="0" applyBorder="1" applyAlignment="1">
      <alignment horizontal="left" vertical="top" wrapText="1"/>
    </xf>
    <xf numFmtId="0" fontId="0" fillId="0" borderId="3" xfId="0" applyBorder="1" applyAlignment="1">
      <alignment horizontal="center" vertical="center" wrapText="1"/>
    </xf>
    <xf numFmtId="0" fontId="0" fillId="0" borderId="1" xfId="0" applyBorder="1" applyAlignment="1">
      <alignment horizontal="left" vertical="center" wrapText="1"/>
    </xf>
    <xf numFmtId="0" fontId="0" fillId="0" borderId="0" xfId="0" applyAlignment="1">
      <alignment horizontal="center" vertical="top"/>
    </xf>
    <xf numFmtId="0" fontId="0" fillId="0" borderId="0" xfId="0" applyAlignment="1">
      <alignment horizontal="left" vertical="center"/>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vertical="top"/>
    </xf>
    <xf numFmtId="0" fontId="0" fillId="0" borderId="1" xfId="0" applyBorder="1" applyAlignment="1">
      <alignment vertical="top" wrapText="1"/>
    </xf>
    <xf numFmtId="0" fontId="9" fillId="0" borderId="2" xfId="0" applyFont="1" applyBorder="1" applyAlignment="1">
      <alignment vertical="top" wrapText="1"/>
    </xf>
    <xf numFmtId="0" fontId="11" fillId="0" borderId="1" xfId="0" applyFont="1" applyBorder="1" applyAlignment="1">
      <alignment vertical="top" wrapText="1"/>
    </xf>
    <xf numFmtId="0" fontId="9" fillId="0" borderId="1" xfId="0" applyFont="1" applyBorder="1" applyAlignment="1">
      <alignment vertical="top" wrapText="1"/>
    </xf>
    <xf numFmtId="0" fontId="3" fillId="0" borderId="0" xfId="0" applyFont="1" applyAlignment="1">
      <alignment horizontal="center" vertical="center"/>
    </xf>
    <xf numFmtId="0" fontId="3" fillId="0" borderId="0" xfId="0" applyFont="1" applyAlignment="1">
      <alignment horizontal="left" vertical="center"/>
    </xf>
    <xf numFmtId="0" fontId="20" fillId="5" borderId="1" xfId="0" applyFont="1" applyFill="1" applyBorder="1" applyAlignment="1">
      <alignment horizontal="left" vertical="top" wrapText="1"/>
    </xf>
    <xf numFmtId="0" fontId="18" fillId="5" borderId="1" xfId="0" applyFont="1" applyFill="1" applyBorder="1" applyAlignment="1">
      <alignment horizontal="left" vertical="top" wrapText="1"/>
    </xf>
    <xf numFmtId="0" fontId="11" fillId="0" borderId="1" xfId="0" applyFont="1" applyBorder="1" applyAlignment="1">
      <alignment horizontal="left" vertical="top"/>
    </xf>
    <xf numFmtId="0" fontId="11" fillId="0" borderId="1" xfId="2" applyFont="1" applyBorder="1" applyAlignment="1">
      <alignment horizontal="left" vertical="top" wrapText="1"/>
    </xf>
    <xf numFmtId="0" fontId="3" fillId="0" borderId="0" xfId="0" applyFont="1" applyAlignment="1">
      <alignment vertical="top" wrapText="1"/>
    </xf>
    <xf numFmtId="0" fontId="4" fillId="2" borderId="1" xfId="0" applyFont="1" applyFill="1" applyBorder="1" applyAlignment="1">
      <alignment vertical="top" wrapText="1"/>
    </xf>
    <xf numFmtId="0" fontId="15" fillId="2" borderId="1" xfId="0" applyFont="1" applyFill="1" applyBorder="1" applyAlignment="1">
      <alignment vertical="top" wrapText="1"/>
    </xf>
    <xf numFmtId="0" fontId="17" fillId="0" borderId="1" xfId="0" applyFont="1" applyBorder="1" applyAlignment="1">
      <alignmen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center" wrapText="1"/>
    </xf>
    <xf numFmtId="0" fontId="21" fillId="0" borderId="1" xfId="0" applyFont="1" applyBorder="1" applyAlignment="1">
      <alignment horizontal="left" vertical="center" wrapText="1"/>
    </xf>
    <xf numFmtId="0" fontId="17" fillId="0" borderId="1" xfId="0" applyFont="1" applyBorder="1" applyAlignment="1">
      <alignment horizontal="center" vertical="center" wrapText="1"/>
    </xf>
    <xf numFmtId="0" fontId="22" fillId="0" borderId="1" xfId="0" applyFont="1" applyBorder="1" applyAlignment="1">
      <alignment horizontal="left" vertical="center" wrapText="1"/>
    </xf>
    <xf numFmtId="0" fontId="0" fillId="0" borderId="1" xfId="0" applyBorder="1" applyAlignment="1">
      <alignment horizontal="left" vertical="center"/>
    </xf>
    <xf numFmtId="0" fontId="3" fillId="0" borderId="4" xfId="0" applyFont="1" applyBorder="1" applyAlignment="1">
      <alignment vertical="top" wrapText="1"/>
    </xf>
    <xf numFmtId="0" fontId="9" fillId="0" borderId="4" xfId="0" applyFont="1" applyBorder="1" applyAlignment="1">
      <alignment vertical="top" wrapText="1"/>
    </xf>
    <xf numFmtId="0" fontId="3" fillId="0" borderId="4" xfId="0" applyFont="1" applyBorder="1" applyAlignment="1">
      <alignment horizontal="center" vertical="center" wrapText="1"/>
    </xf>
    <xf numFmtId="0" fontId="0" fillId="0" borderId="4" xfId="0" applyBorder="1" applyAlignment="1">
      <alignment horizontal="left" vertical="center" wrapText="1"/>
    </xf>
    <xf numFmtId="0" fontId="23" fillId="0" borderId="4" xfId="0" applyFont="1" applyBorder="1" applyAlignment="1">
      <alignment horizontal="center" vertical="center" wrapText="1"/>
    </xf>
    <xf numFmtId="0" fontId="24" fillId="0" borderId="4" xfId="0" applyFont="1" applyBorder="1" applyAlignment="1">
      <alignment horizontal="left"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3" fillId="0" borderId="1" xfId="0" applyFont="1" applyBorder="1" applyAlignment="1">
      <alignment horizontal="left" vertical="center" wrapText="1"/>
    </xf>
    <xf numFmtId="0" fontId="14" fillId="0" borderId="1" xfId="0" applyFont="1" applyBorder="1" applyAlignment="1">
      <alignment horizontal="center" vertical="center" wrapText="1"/>
    </xf>
    <xf numFmtId="0" fontId="26" fillId="0" borderId="0" xfId="0" applyFont="1" applyAlignment="1">
      <alignment horizontal="center" vertical="center" wrapText="1"/>
    </xf>
    <xf numFmtId="0" fontId="3" fillId="0" borderId="0" xfId="0" applyFont="1" applyAlignment="1">
      <alignment horizontal="left" vertical="top" wrapText="1"/>
    </xf>
    <xf numFmtId="0" fontId="3" fillId="3" borderId="0" xfId="0" applyFont="1" applyFill="1" applyAlignment="1">
      <alignment horizontal="left" vertical="top" wrapText="1"/>
    </xf>
    <xf numFmtId="0" fontId="26" fillId="3" borderId="0" xfId="0" applyFont="1" applyFill="1" applyAlignment="1">
      <alignment horizontal="left" vertical="center" wrapText="1"/>
    </xf>
    <xf numFmtId="0" fontId="26" fillId="0" borderId="0" xfId="0" applyFont="1" applyAlignment="1">
      <alignment horizontal="left" vertical="center" wrapText="1"/>
    </xf>
    <xf numFmtId="0" fontId="9" fillId="3" borderId="1" xfId="0" applyFont="1" applyFill="1" applyBorder="1" applyAlignment="1">
      <alignment vertical="top" wrapText="1"/>
    </xf>
    <xf numFmtId="0" fontId="0" fillId="0" borderId="2" xfId="0" applyBorder="1" applyAlignment="1">
      <alignment vertical="top" wrapText="1"/>
    </xf>
    <xf numFmtId="0" fontId="0" fillId="0" borderId="2" xfId="0" applyBorder="1" applyAlignment="1">
      <alignment horizontal="left" vertical="top" wrapText="1"/>
    </xf>
    <xf numFmtId="0" fontId="3" fillId="0" borderId="0" xfId="0" applyFont="1" applyAlignment="1">
      <alignment vertical="center" wrapText="1"/>
    </xf>
    <xf numFmtId="0" fontId="27" fillId="0" borderId="1" xfId="0" applyFont="1" applyBorder="1" applyAlignment="1">
      <alignment horizontal="left" vertical="top" wrapText="1"/>
    </xf>
    <xf numFmtId="0" fontId="11" fillId="0" borderId="1" xfId="0" applyFont="1" applyBorder="1" applyAlignment="1">
      <alignment horizontal="center" vertical="center"/>
    </xf>
    <xf numFmtId="0" fontId="11" fillId="0" borderId="1" xfId="0" applyFont="1" applyBorder="1" applyAlignment="1">
      <alignment vertical="center" wrapText="1"/>
    </xf>
    <xf numFmtId="0" fontId="13" fillId="0" borderId="1" xfId="0" applyFont="1" applyBorder="1" applyAlignment="1">
      <alignment horizontal="left" vertical="top" wrapText="1"/>
    </xf>
    <xf numFmtId="0" fontId="13" fillId="0" borderId="1" xfId="0" applyFont="1" applyBorder="1" applyAlignment="1">
      <alignment horizontal="center" vertical="center"/>
    </xf>
    <xf numFmtId="0" fontId="13" fillId="0" borderId="1" xfId="0" applyFont="1" applyBorder="1" applyAlignment="1">
      <alignment vertical="center" wrapText="1"/>
    </xf>
    <xf numFmtId="0" fontId="3" fillId="0" borderId="1" xfId="0" applyFont="1" applyBorder="1" applyAlignment="1">
      <alignment vertical="center" wrapText="1"/>
    </xf>
    <xf numFmtId="0" fontId="9" fillId="0" borderId="8" xfId="0" applyFont="1" applyBorder="1" applyAlignment="1">
      <alignment horizontal="left" vertical="top" wrapText="1"/>
    </xf>
    <xf numFmtId="0" fontId="9" fillId="0" borderId="8" xfId="0" applyFont="1" applyBorder="1" applyAlignment="1">
      <alignment horizontal="left" vertical="top"/>
    </xf>
    <xf numFmtId="0" fontId="0" fillId="0" borderId="9" xfId="0" applyBorder="1" applyAlignment="1">
      <alignment horizontal="left" vertical="center" wrapText="1"/>
    </xf>
    <xf numFmtId="0" fontId="30" fillId="0" borderId="0" xfId="0" applyFont="1" applyAlignment="1">
      <alignment horizontal="left" vertical="center" wrapText="1"/>
    </xf>
    <xf numFmtId="0" fontId="9" fillId="6" borderId="1" xfId="0" applyFont="1" applyFill="1" applyBorder="1" applyAlignment="1">
      <alignment horizontal="left" vertical="top" wrapText="1"/>
    </xf>
    <xf numFmtId="0" fontId="11" fillId="0" borderId="4" xfId="0" applyFont="1" applyBorder="1" applyAlignment="1">
      <alignment horizontal="left" vertical="top" wrapText="1"/>
    </xf>
    <xf numFmtId="0" fontId="0" fillId="3" borderId="5" xfId="0" applyFill="1" applyBorder="1" applyAlignment="1">
      <alignment horizontal="left" vertical="center" wrapText="1"/>
    </xf>
    <xf numFmtId="0" fontId="0" fillId="0" borderId="4" xfId="0" applyBorder="1" applyAlignment="1">
      <alignment horizontal="left" vertical="center"/>
    </xf>
    <xf numFmtId="0" fontId="3" fillId="0" borderId="15" xfId="0" applyFont="1" applyBorder="1" applyAlignment="1">
      <alignment horizontal="left" vertical="center" wrapText="1"/>
    </xf>
    <xf numFmtId="0" fontId="3" fillId="0" borderId="4" xfId="0" applyFont="1" applyBorder="1" applyAlignment="1">
      <alignment horizontal="left" vertical="center" wrapText="1"/>
    </xf>
    <xf numFmtId="0" fontId="18" fillId="0" borderId="4" xfId="0" applyFont="1" applyBorder="1" applyAlignment="1">
      <alignment horizontal="left" vertical="top" wrapText="1"/>
    </xf>
    <xf numFmtId="0" fontId="0" fillId="3" borderId="1" xfId="0" applyFill="1" applyBorder="1" applyAlignment="1">
      <alignment horizontal="left" vertical="center" wrapText="1"/>
    </xf>
    <xf numFmtId="0" fontId="3" fillId="0" borderId="7" xfId="0" applyFont="1" applyBorder="1" applyAlignment="1">
      <alignment horizontal="left" vertical="center"/>
    </xf>
    <xf numFmtId="0" fontId="3" fillId="0" borderId="3" xfId="0" applyFont="1" applyBorder="1" applyAlignment="1">
      <alignment horizontal="left" vertical="center" wrapText="1"/>
    </xf>
    <xf numFmtId="0" fontId="9" fillId="0" borderId="7" xfId="0" applyFont="1" applyBorder="1" applyAlignment="1">
      <alignment horizontal="left" vertical="top" wrapText="1"/>
    </xf>
    <xf numFmtId="0" fontId="0" fillId="0" borderId="5" xfId="0" applyBorder="1" applyAlignment="1">
      <alignment horizontal="left" vertical="top"/>
    </xf>
    <xf numFmtId="0" fontId="0" fillId="0" borderId="3" xfId="0" applyBorder="1" applyAlignment="1">
      <alignment horizontal="left" vertical="top"/>
    </xf>
    <xf numFmtId="0" fontId="9" fillId="0" borderId="3" xfId="0" applyFont="1" applyBorder="1" applyAlignment="1">
      <alignment horizontal="left" vertical="top" wrapText="1"/>
    </xf>
    <xf numFmtId="0" fontId="9" fillId="0" borderId="9" xfId="0" applyFont="1" applyBorder="1" applyAlignment="1">
      <alignment horizontal="left" vertical="top" wrapText="1"/>
    </xf>
    <xf numFmtId="0" fontId="0" fillId="0" borderId="13" xfId="0" applyBorder="1" applyAlignment="1">
      <alignment horizontal="left" vertical="top"/>
    </xf>
    <xf numFmtId="0" fontId="3" fillId="0" borderId="0" xfId="0" applyFont="1" applyAlignment="1">
      <alignment horizontal="left" vertical="top"/>
    </xf>
    <xf numFmtId="0" fontId="15" fillId="2" borderId="2" xfId="0" applyFont="1" applyFill="1" applyBorder="1" applyAlignment="1">
      <alignment horizontal="left" vertical="top" wrapText="1"/>
    </xf>
    <xf numFmtId="0" fontId="0" fillId="0" borderId="9" xfId="0" applyBorder="1" applyAlignment="1">
      <alignment horizontal="left" vertical="top" wrapText="1"/>
    </xf>
    <xf numFmtId="0" fontId="9" fillId="0" borderId="2" xfId="0" applyFont="1" applyBorder="1" applyAlignment="1">
      <alignment horizontal="left" vertical="top" wrapText="1"/>
    </xf>
    <xf numFmtId="0" fontId="8" fillId="0" borderId="2" xfId="2" applyFont="1" applyBorder="1" applyAlignment="1">
      <alignment horizontal="left" vertical="top" wrapText="1"/>
    </xf>
    <xf numFmtId="0" fontId="13" fillId="0" borderId="1" xfId="2" applyFont="1" applyBorder="1" applyAlignment="1">
      <alignment horizontal="left" vertical="top" wrapText="1"/>
    </xf>
    <xf numFmtId="0" fontId="32" fillId="0" borderId="2" xfId="2" applyFont="1" applyBorder="1" applyAlignment="1">
      <alignment horizontal="left" vertical="top" wrapText="1"/>
    </xf>
    <xf numFmtId="0" fontId="9" fillId="0" borderId="1" xfId="0" applyFont="1" applyBorder="1" applyAlignment="1">
      <alignment horizontal="left" vertical="top"/>
    </xf>
    <xf numFmtId="0" fontId="4" fillId="2" borderId="1" xfId="0" applyFont="1" applyFill="1" applyBorder="1" applyAlignment="1">
      <alignment horizontal="center" vertical="center" wrapText="1"/>
    </xf>
    <xf numFmtId="0" fontId="0" fillId="3" borderId="1" xfId="0" applyFill="1" applyBorder="1" applyAlignment="1">
      <alignment vertical="top" wrapText="1"/>
    </xf>
    <xf numFmtId="0" fontId="0" fillId="3" borderId="1" xfId="0" applyFill="1" applyBorder="1" applyAlignment="1">
      <alignment horizontal="center" vertical="center" wrapText="1"/>
    </xf>
    <xf numFmtId="0" fontId="0" fillId="0" borderId="1" xfId="0" applyBorder="1" applyAlignment="1">
      <alignment horizontal="center" vertical="center" wrapText="1"/>
    </xf>
    <xf numFmtId="0" fontId="9" fillId="0" borderId="1" xfId="0" applyFont="1" applyBorder="1" applyAlignment="1">
      <alignment horizontal="center" vertical="center" wrapText="1" indent="1"/>
    </xf>
    <xf numFmtId="0" fontId="23" fillId="0" borderId="1" xfId="0" applyFont="1" applyBorder="1" applyAlignment="1">
      <alignment horizontal="center" vertical="center" wrapText="1"/>
    </xf>
    <xf numFmtId="0" fontId="3" fillId="3" borderId="0" xfId="0" applyFont="1" applyFill="1" applyAlignment="1">
      <alignment horizontal="center" vertical="center"/>
    </xf>
    <xf numFmtId="0" fontId="3" fillId="3" borderId="0" xfId="0" applyFont="1" applyFill="1" applyAlignment="1">
      <alignment horizontal="left" vertical="center"/>
    </xf>
    <xf numFmtId="0" fontId="3" fillId="3" borderId="0" xfId="0" applyFont="1" applyFill="1" applyAlignment="1">
      <alignment horizontal="center" vertical="center" wrapText="1"/>
    </xf>
    <xf numFmtId="0" fontId="6" fillId="0" borderId="1" xfId="0" applyFont="1" applyBorder="1" applyAlignment="1">
      <alignment horizontal="left" vertical="center"/>
    </xf>
    <xf numFmtId="0" fontId="3" fillId="0" borderId="1" xfId="0" applyFont="1" applyBorder="1" applyAlignment="1">
      <alignment horizontal="left" vertical="center"/>
    </xf>
    <xf numFmtId="0" fontId="7" fillId="0" borderId="1" xfId="0" applyFont="1" applyBorder="1" applyAlignment="1">
      <alignment horizontal="left" vertical="center" wrapText="1"/>
    </xf>
    <xf numFmtId="0" fontId="6" fillId="0" borderId="1" xfId="0" applyFont="1" applyBorder="1" applyAlignment="1">
      <alignment horizontal="center" vertical="center"/>
    </xf>
    <xf numFmtId="0" fontId="3" fillId="0" borderId="1" xfId="0" applyFont="1" applyBorder="1" applyAlignment="1">
      <alignment horizontal="center" vertical="center"/>
    </xf>
    <xf numFmtId="0" fontId="34" fillId="0" borderId="2" xfId="0" applyFont="1" applyBorder="1" applyAlignment="1">
      <alignment horizontal="left" vertical="center" wrapText="1"/>
    </xf>
    <xf numFmtId="1" fontId="3" fillId="0" borderId="2" xfId="0" applyNumberFormat="1" applyFont="1" applyBorder="1" applyAlignment="1">
      <alignment horizontal="center" vertical="center" wrapText="1"/>
    </xf>
    <xf numFmtId="9" fontId="3" fillId="3" borderId="2" xfId="1" applyFont="1" applyFill="1" applyBorder="1" applyAlignment="1">
      <alignment horizontal="center" vertical="center" wrapText="1"/>
    </xf>
    <xf numFmtId="0" fontId="25" fillId="8" borderId="2"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15" fillId="9" borderId="1" xfId="0" applyFont="1" applyFill="1" applyBorder="1" applyAlignment="1">
      <alignment horizontal="center" vertical="center" wrapText="1"/>
    </xf>
    <xf numFmtId="0" fontId="4" fillId="9" borderId="1" xfId="0" applyFont="1" applyFill="1" applyBorder="1" applyAlignment="1">
      <alignment horizontal="left" vertical="top" wrapText="1"/>
    </xf>
    <xf numFmtId="0" fontId="5" fillId="9" borderId="2" xfId="0" applyFont="1" applyFill="1" applyBorder="1" applyAlignment="1">
      <alignment horizontal="center" vertical="center" wrapText="1"/>
    </xf>
    <xf numFmtId="0" fontId="5" fillId="9" borderId="6" xfId="0" applyFont="1" applyFill="1" applyBorder="1" applyAlignment="1">
      <alignment horizontal="left" vertical="top" wrapText="1"/>
    </xf>
    <xf numFmtId="0" fontId="20" fillId="9" borderId="1" xfId="0" applyFont="1" applyFill="1" applyBorder="1" applyAlignment="1">
      <alignment horizontal="left" vertical="top" wrapText="1"/>
    </xf>
    <xf numFmtId="0" fontId="5" fillId="9" borderId="1" xfId="0" applyFont="1" applyFill="1" applyBorder="1" applyAlignment="1">
      <alignment vertical="center" wrapText="1"/>
    </xf>
    <xf numFmtId="0" fontId="5" fillId="9" borderId="1" xfId="0" applyFont="1" applyFill="1" applyBorder="1" applyAlignment="1">
      <alignment horizontal="left" vertical="center" wrapText="1"/>
    </xf>
    <xf numFmtId="0" fontId="5" fillId="9" borderId="1" xfId="0" applyFont="1" applyFill="1" applyBorder="1" applyAlignment="1">
      <alignment vertical="top" wrapText="1"/>
    </xf>
    <xf numFmtId="0" fontId="5" fillId="9" borderId="4" xfId="0" applyFont="1" applyFill="1" applyBorder="1" applyAlignment="1">
      <alignment horizontal="left" vertical="top"/>
    </xf>
    <xf numFmtId="0" fontId="10" fillId="9" borderId="1" xfId="0" applyFont="1" applyFill="1" applyBorder="1" applyAlignment="1">
      <alignment vertical="top" wrapText="1"/>
    </xf>
    <xf numFmtId="0" fontId="3" fillId="0" borderId="2" xfId="0" applyFont="1" applyBorder="1" applyAlignment="1">
      <alignment vertical="top" wrapText="1"/>
    </xf>
    <xf numFmtId="0" fontId="4" fillId="2" borderId="2" xfId="0" applyFont="1" applyFill="1" applyBorder="1" applyAlignment="1">
      <alignment horizontal="center" vertical="top" wrapText="1"/>
    </xf>
    <xf numFmtId="0" fontId="15" fillId="2" borderId="2" xfId="0" applyFont="1" applyFill="1" applyBorder="1" applyAlignment="1">
      <alignment horizontal="center" vertical="top" wrapText="1"/>
    </xf>
    <xf numFmtId="0" fontId="5" fillId="9" borderId="2" xfId="0" applyFont="1" applyFill="1" applyBorder="1" applyAlignment="1">
      <alignment horizontal="center" vertical="top" wrapText="1"/>
    </xf>
    <xf numFmtId="0" fontId="16" fillId="0" borderId="2" xfId="0" applyFont="1" applyBorder="1" applyAlignment="1">
      <alignment horizontal="left" vertical="top" wrapText="1"/>
    </xf>
    <xf numFmtId="0" fontId="9" fillId="0" borderId="2" xfId="0" applyFont="1" applyBorder="1" applyAlignment="1">
      <alignment horizontal="center" vertical="top" wrapText="1"/>
    </xf>
    <xf numFmtId="0" fontId="17" fillId="0" borderId="2" xfId="0" applyFont="1" applyBorder="1" applyAlignment="1">
      <alignment horizontal="left" vertical="top" wrapText="1"/>
    </xf>
    <xf numFmtId="0" fontId="36" fillId="0" borderId="2" xfId="0" applyFont="1" applyBorder="1" applyAlignment="1">
      <alignment vertical="top" wrapText="1"/>
    </xf>
    <xf numFmtId="0" fontId="2" fillId="0" borderId="2" xfId="0" applyFont="1" applyBorder="1" applyAlignment="1">
      <alignment horizontal="left" vertical="top" wrapText="1"/>
    </xf>
    <xf numFmtId="0" fontId="2" fillId="0" borderId="2" xfId="0" applyFont="1" applyBorder="1" applyAlignment="1">
      <alignment horizontal="center" vertical="top"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0" fontId="6" fillId="0" borderId="1" xfId="0" applyFont="1" applyBorder="1" applyAlignment="1">
      <alignment horizontal="left" vertical="top" wrapText="1"/>
    </xf>
    <xf numFmtId="0" fontId="3" fillId="0" borderId="1" xfId="0" applyFont="1" applyBorder="1" applyAlignment="1">
      <alignment horizontal="left" vertical="top" wrapText="1"/>
    </xf>
    <xf numFmtId="0" fontId="9" fillId="0" borderId="1" xfId="0" applyFont="1" applyBorder="1" applyAlignment="1">
      <alignment horizontal="left" vertical="top" wrapText="1"/>
    </xf>
    <xf numFmtId="0" fontId="3" fillId="0" borderId="0" xfId="0" applyFont="1" applyAlignment="1">
      <alignment vertical="center"/>
    </xf>
    <xf numFmtId="0" fontId="38" fillId="0" borderId="2" xfId="0" applyFont="1" applyBorder="1" applyAlignment="1">
      <alignment horizontal="center" vertical="center" wrapText="1"/>
    </xf>
    <xf numFmtId="0" fontId="38" fillId="0" borderId="2" xfId="0" applyFont="1" applyBorder="1" applyAlignment="1">
      <alignment horizontal="left" vertical="top" wrapText="1"/>
    </xf>
    <xf numFmtId="0" fontId="39" fillId="0" borderId="2" xfId="0" applyFont="1" applyBorder="1" applyAlignment="1">
      <alignment horizontal="left" vertical="center" wrapText="1"/>
    </xf>
    <xf numFmtId="0" fontId="38" fillId="0" borderId="2" xfId="0" applyFont="1" applyBorder="1" applyAlignment="1">
      <alignment vertical="top" wrapText="1"/>
    </xf>
    <xf numFmtId="0" fontId="40" fillId="0" borderId="2" xfId="0" applyFont="1" applyBorder="1" applyAlignment="1">
      <alignment horizontal="left" vertical="top" wrapText="1"/>
    </xf>
    <xf numFmtId="0" fontId="40" fillId="0" borderId="2" xfId="0" applyFont="1" applyBorder="1" applyAlignment="1">
      <alignment horizontal="left" vertical="center" wrapText="1"/>
    </xf>
    <xf numFmtId="0" fontId="38" fillId="0" borderId="2" xfId="0" applyFont="1" applyBorder="1" applyAlignment="1">
      <alignment horizontal="left" vertical="center" wrapText="1"/>
    </xf>
    <xf numFmtId="0" fontId="39" fillId="0" borderId="2" xfId="0" applyFont="1" applyBorder="1" applyAlignment="1">
      <alignment horizontal="left" vertical="top" wrapText="1"/>
    </xf>
    <xf numFmtId="0" fontId="40" fillId="0" borderId="2" xfId="0" applyFont="1" applyBorder="1" applyAlignment="1">
      <alignment vertical="top" wrapText="1"/>
    </xf>
    <xf numFmtId="0" fontId="9" fillId="0" borderId="2" xfId="0" applyFont="1" applyBorder="1" applyAlignment="1">
      <alignment horizontal="center" vertical="center" wrapText="1"/>
    </xf>
    <xf numFmtId="0" fontId="5" fillId="9" borderId="2" xfId="0" applyFont="1" applyFill="1" applyBorder="1" applyAlignment="1">
      <alignment vertical="top" wrapText="1"/>
    </xf>
    <xf numFmtId="0" fontId="9" fillId="0" borderId="2" xfId="0" applyFont="1" applyBorder="1" applyAlignment="1">
      <alignment horizontal="left" vertical="center" wrapText="1"/>
    </xf>
    <xf numFmtId="0" fontId="13" fillId="0" borderId="2" xfId="0" applyFont="1" applyBorder="1" applyAlignment="1">
      <alignment vertical="top" wrapText="1"/>
    </xf>
    <xf numFmtId="0" fontId="13" fillId="0" borderId="2" xfId="0" applyFont="1" applyBorder="1" applyAlignment="1">
      <alignment wrapText="1"/>
    </xf>
    <xf numFmtId="0" fontId="0" fillId="0" borderId="2" xfId="0" applyBorder="1" applyAlignment="1">
      <alignment horizontal="left" vertical="center" wrapText="1"/>
    </xf>
    <xf numFmtId="0" fontId="4" fillId="9" borderId="2" xfId="0" applyFont="1" applyFill="1" applyBorder="1" applyAlignment="1">
      <alignment vertical="top" wrapText="1"/>
    </xf>
    <xf numFmtId="0" fontId="4" fillId="5" borderId="2" xfId="0" applyFont="1" applyFill="1" applyBorder="1" applyAlignment="1">
      <alignment vertical="top" wrapText="1"/>
    </xf>
    <xf numFmtId="0" fontId="15" fillId="5" borderId="2" xfId="0" applyFont="1" applyFill="1" applyBorder="1" applyAlignment="1">
      <alignment vertical="top" wrapText="1"/>
    </xf>
    <xf numFmtId="0" fontId="0" fillId="0" borderId="2" xfId="0" applyBorder="1" applyAlignment="1">
      <alignment horizontal="center" vertical="top"/>
    </xf>
    <xf numFmtId="0" fontId="0" fillId="0" borderId="2" xfId="0" applyBorder="1" applyAlignment="1">
      <alignment vertical="top"/>
    </xf>
    <xf numFmtId="0" fontId="0" fillId="0" borderId="2" xfId="0" applyBorder="1" applyAlignment="1">
      <alignment horizontal="left" vertical="top"/>
    </xf>
    <xf numFmtId="0" fontId="0" fillId="0" borderId="2" xfId="0" applyBorder="1" applyAlignment="1">
      <alignment horizontal="left" vertical="center"/>
    </xf>
    <xf numFmtId="0" fontId="19" fillId="0" borderId="2" xfId="0" applyFont="1" applyBorder="1" applyAlignment="1">
      <alignment vertical="top"/>
    </xf>
    <xf numFmtId="0" fontId="9" fillId="0" borderId="2" xfId="0" applyFont="1" applyBorder="1" applyAlignment="1">
      <alignment vertical="top"/>
    </xf>
    <xf numFmtId="0" fontId="0" fillId="3" borderId="2" xfId="0" applyFill="1" applyBorder="1" applyAlignment="1">
      <alignment horizontal="left" vertical="center" wrapText="1"/>
    </xf>
    <xf numFmtId="0" fontId="6" fillId="0" borderId="11" xfId="0" applyFont="1" applyBorder="1" applyAlignment="1">
      <alignment wrapText="1"/>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6" fillId="0" borderId="2" xfId="0" applyFont="1" applyBorder="1" applyAlignment="1">
      <alignment vertical="top" wrapText="1"/>
    </xf>
    <xf numFmtId="0" fontId="20" fillId="2" borderId="2" xfId="0" applyFont="1" applyFill="1" applyBorder="1" applyAlignment="1">
      <alignment horizontal="center" vertical="top" wrapText="1"/>
    </xf>
    <xf numFmtId="0" fontId="11" fillId="0" borderId="2" xfId="0" applyFont="1" applyBorder="1" applyAlignment="1">
      <alignment horizontal="left" vertical="top" wrapText="1"/>
    </xf>
    <xf numFmtId="0" fontId="11" fillId="0" borderId="2" xfId="0" applyFont="1" applyBorder="1" applyAlignment="1">
      <alignment horizontal="center" vertical="top" wrapText="1"/>
    </xf>
    <xf numFmtId="0" fontId="0" fillId="0" borderId="1" xfId="0" applyBorder="1" applyAlignment="1">
      <alignment horizontal="center" vertical="center"/>
    </xf>
    <xf numFmtId="0" fontId="19" fillId="0" borderId="1" xfId="0" applyFont="1" applyBorder="1" applyAlignment="1">
      <alignment horizontal="center" vertical="center"/>
    </xf>
    <xf numFmtId="0" fontId="13" fillId="0" borderId="2" xfId="0" applyFont="1" applyBorder="1" applyAlignment="1">
      <alignment horizontal="left" vertical="top" wrapText="1"/>
    </xf>
    <xf numFmtId="0" fontId="41" fillId="0" borderId="1" xfId="0" applyFont="1" applyBorder="1" applyAlignment="1">
      <alignment vertical="top" wrapText="1"/>
    </xf>
    <xf numFmtId="0" fontId="9" fillId="0" borderId="1" xfId="0" applyFont="1" applyBorder="1" applyAlignment="1">
      <alignment horizontal="center" vertical="top" wrapText="1"/>
    </xf>
    <xf numFmtId="0" fontId="9" fillId="0" borderId="9" xfId="0" applyFont="1" applyBorder="1" applyAlignment="1">
      <alignment horizontal="center" vertical="center" wrapText="1"/>
    </xf>
    <xf numFmtId="0" fontId="0" fillId="0" borderId="4" xfId="0" applyBorder="1" applyAlignment="1">
      <alignment horizontal="center" vertical="center"/>
    </xf>
    <xf numFmtId="0" fontId="42" fillId="0" borderId="1" xfId="0" applyFont="1" applyBorder="1" applyAlignment="1">
      <alignment vertical="top" wrapText="1"/>
    </xf>
    <xf numFmtId="0" fontId="38" fillId="0" borderId="6" xfId="0" applyFont="1" applyBorder="1" applyAlignment="1">
      <alignment horizontal="center" vertical="center" wrapText="1"/>
    </xf>
    <xf numFmtId="0" fontId="41" fillId="0" borderId="1" xfId="0" applyFont="1" applyBorder="1" applyAlignment="1">
      <alignment horizontal="center" vertical="center" wrapText="1"/>
    </xf>
    <xf numFmtId="0" fontId="11" fillId="3" borderId="2" xfId="2" applyFont="1" applyFill="1" applyBorder="1" applyAlignment="1">
      <alignment wrapText="1"/>
    </xf>
    <xf numFmtId="0" fontId="43" fillId="0" borderId="2" xfId="0" applyFont="1" applyBorder="1" applyAlignment="1">
      <alignment horizontal="left" vertical="top" wrapText="1"/>
    </xf>
    <xf numFmtId="0" fontId="44" fillId="0" borderId="2" xfId="2" applyFont="1" applyBorder="1" applyAlignment="1">
      <alignment vertical="top" wrapText="1"/>
    </xf>
    <xf numFmtId="0" fontId="11" fillId="0" borderId="2" xfId="0" applyFont="1" applyBorder="1" applyAlignment="1">
      <alignment wrapText="1"/>
    </xf>
    <xf numFmtId="0" fontId="39" fillId="0" borderId="1" xfId="0" applyFont="1" applyBorder="1" applyAlignment="1">
      <alignment horizontal="left" vertical="center" wrapText="1"/>
    </xf>
    <xf numFmtId="0" fontId="5" fillId="9" borderId="1" xfId="0" applyFont="1" applyFill="1" applyBorder="1" applyAlignment="1">
      <alignment horizontal="center" vertical="center" wrapText="1" indent="1"/>
    </xf>
    <xf numFmtId="0" fontId="3" fillId="0" borderId="0" xfId="0" applyFont="1" applyAlignment="1">
      <alignment horizontal="center" vertical="center" wrapText="1" indent="1"/>
    </xf>
    <xf numFmtId="0" fontId="9" fillId="0" borderId="8" xfId="0" applyFont="1" applyBorder="1" applyAlignment="1">
      <alignment horizontal="center" vertical="center" wrapText="1"/>
    </xf>
    <xf numFmtId="0" fontId="9" fillId="0" borderId="4" xfId="0" applyFont="1" applyBorder="1" applyAlignment="1">
      <alignment horizontal="center" vertical="center" wrapText="1"/>
    </xf>
    <xf numFmtId="0" fontId="0" fillId="0" borderId="9" xfId="0" applyBorder="1" applyAlignment="1">
      <alignment horizontal="center" vertical="center"/>
    </xf>
    <xf numFmtId="0" fontId="31" fillId="0" borderId="2" xfId="0" applyFont="1" applyBorder="1" applyAlignment="1">
      <alignment horizontal="center" vertical="center"/>
    </xf>
    <xf numFmtId="0" fontId="40" fillId="0" borderId="1" xfId="0" applyFont="1" applyBorder="1" applyAlignment="1">
      <alignment horizontal="left" vertical="center" wrapText="1"/>
    </xf>
    <xf numFmtId="0" fontId="6" fillId="0" borderId="3" xfId="0" applyFont="1" applyBorder="1" applyAlignment="1">
      <alignment horizontal="left" vertical="center" wrapText="1"/>
    </xf>
    <xf numFmtId="0" fontId="39" fillId="0" borderId="6" xfId="0" applyFont="1" applyBorder="1" applyAlignment="1">
      <alignment horizontal="left" vertical="top" wrapText="1"/>
    </xf>
    <xf numFmtId="0" fontId="40" fillId="0" borderId="6" xfId="0" applyFont="1" applyBorder="1" applyAlignment="1">
      <alignment horizontal="left" vertical="top" wrapText="1"/>
    </xf>
    <xf numFmtId="0" fontId="17" fillId="0" borderId="4" xfId="0" applyFont="1" applyBorder="1" applyAlignment="1">
      <alignment horizontal="center" vertical="center" wrapText="1"/>
    </xf>
    <xf numFmtId="0" fontId="22" fillId="0" borderId="4" xfId="0" applyFont="1" applyBorder="1" applyAlignment="1">
      <alignment horizontal="left" vertical="center" wrapText="1"/>
    </xf>
    <xf numFmtId="0" fontId="0" fillId="0" borderId="0" xfId="0" applyAlignment="1">
      <alignment vertical="top" wrapText="1"/>
    </xf>
    <xf numFmtId="0" fontId="10" fillId="9" borderId="2" xfId="0" applyFont="1" applyFill="1" applyBorder="1" applyAlignment="1">
      <alignment horizontal="center" vertical="center" wrapText="1"/>
    </xf>
    <xf numFmtId="0" fontId="19" fillId="0" borderId="2" xfId="0" applyFont="1" applyBorder="1" applyAlignment="1">
      <alignment vertical="top" wrapText="1"/>
    </xf>
    <xf numFmtId="0" fontId="7"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37"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7" fillId="0" borderId="4" xfId="0" applyFont="1" applyBorder="1" applyAlignment="1">
      <alignment horizontal="center" vertical="center" wrapText="1"/>
    </xf>
    <xf numFmtId="0" fontId="13" fillId="0" borderId="1" xfId="0" applyFont="1" applyBorder="1" applyAlignment="1">
      <alignment horizontal="center" vertical="center" wrapText="1"/>
    </xf>
    <xf numFmtId="0" fontId="8" fillId="0" borderId="0" xfId="2" applyFont="1" applyAlignment="1">
      <alignment wrapText="1"/>
    </xf>
    <xf numFmtId="0" fontId="5" fillId="9" borderId="2" xfId="0" applyFont="1" applyFill="1" applyBorder="1" applyAlignment="1">
      <alignment horizontal="center" vertical="center"/>
    </xf>
    <xf numFmtId="0" fontId="5" fillId="9" borderId="2" xfId="0" applyFont="1" applyFill="1" applyBorder="1"/>
    <xf numFmtId="0" fontId="0" fillId="0" borderId="2" xfId="0" applyBorder="1" applyAlignment="1">
      <alignment horizontal="center" vertical="center"/>
    </xf>
    <xf numFmtId="0" fontId="0" fillId="0" borderId="2" xfId="0" applyBorder="1"/>
    <xf numFmtId="0" fontId="9" fillId="0" borderId="1" xfId="0" applyFont="1" applyBorder="1" applyAlignment="1">
      <alignment vertical="center" wrapText="1"/>
    </xf>
    <xf numFmtId="0" fontId="23" fillId="3" borderId="1" xfId="0" applyFont="1" applyFill="1" applyBorder="1" applyAlignment="1">
      <alignment horizontal="center" vertical="center" wrapText="1"/>
    </xf>
    <xf numFmtId="0" fontId="31"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26" fillId="0" borderId="0" xfId="0" applyFont="1" applyAlignment="1">
      <alignment horizontal="left" vertical="top" wrapText="1"/>
    </xf>
    <xf numFmtId="0" fontId="1" fillId="0" borderId="2" xfId="0" applyFont="1" applyBorder="1" applyAlignment="1">
      <alignment vertical="top" wrapText="1"/>
    </xf>
    <xf numFmtId="0" fontId="1" fillId="0" borderId="2" xfId="2" applyFont="1" applyBorder="1" applyAlignment="1">
      <alignment vertical="top" wrapText="1"/>
    </xf>
    <xf numFmtId="0" fontId="1" fillId="3" borderId="2" xfId="0" applyFont="1" applyFill="1" applyBorder="1" applyAlignment="1">
      <alignment vertical="top" wrapText="1"/>
    </xf>
    <xf numFmtId="0" fontId="13" fillId="0" borderId="2" xfId="2" applyFont="1" applyBorder="1" applyAlignment="1">
      <alignment vertical="top" wrapText="1"/>
    </xf>
    <xf numFmtId="0" fontId="28" fillId="0" borderId="2" xfId="2" applyBorder="1" applyAlignment="1">
      <alignment vertical="top" wrapText="1"/>
    </xf>
    <xf numFmtId="0" fontId="1" fillId="0" borderId="2" xfId="0" applyFont="1" applyBorder="1" applyAlignment="1">
      <alignment horizontal="left" vertical="center" wrapText="1"/>
    </xf>
    <xf numFmtId="0" fontId="1" fillId="0" borderId="2" xfId="0" applyFont="1" applyBorder="1" applyAlignment="1">
      <alignment horizontal="left" vertical="top" wrapText="1"/>
    </xf>
    <xf numFmtId="0" fontId="1" fillId="0" borderId="2" xfId="0" applyFont="1" applyBorder="1" applyAlignment="1">
      <alignment horizontal="center" vertical="center" wrapText="1"/>
    </xf>
    <xf numFmtId="0" fontId="20" fillId="2" borderId="2" xfId="0" applyFont="1" applyFill="1" applyBorder="1" applyAlignment="1">
      <alignment vertical="top" wrapText="1"/>
    </xf>
    <xf numFmtId="0" fontId="11" fillId="3" borderId="2" xfId="0" applyFont="1" applyFill="1" applyBorder="1" applyAlignment="1">
      <alignment vertical="top" wrapText="1"/>
    </xf>
    <xf numFmtId="0" fontId="11" fillId="3" borderId="2" xfId="0" applyFont="1" applyFill="1" applyBorder="1" applyAlignment="1">
      <alignment horizontal="center" vertical="center" wrapText="1"/>
    </xf>
    <xf numFmtId="0" fontId="13" fillId="0" borderId="2" xfId="0" applyFont="1" applyBorder="1" applyAlignment="1">
      <alignment horizontal="center" vertical="center" wrapText="1"/>
    </xf>
    <xf numFmtId="0" fontId="11" fillId="0" borderId="2" xfId="0" applyFont="1" applyBorder="1" applyAlignment="1">
      <alignment horizontal="left" vertical="center" wrapText="1"/>
    </xf>
    <xf numFmtId="0" fontId="13" fillId="0" borderId="2" xfId="0" applyFont="1" applyBorder="1" applyAlignment="1">
      <alignment horizontal="left" vertical="center" wrapText="1"/>
    </xf>
    <xf numFmtId="0" fontId="13" fillId="3" borderId="2" xfId="0" applyFont="1" applyFill="1" applyBorder="1" applyAlignment="1">
      <alignment vertical="top" wrapText="1"/>
    </xf>
    <xf numFmtId="0" fontId="11" fillId="4" borderId="2" xfId="0" applyFont="1" applyFill="1" applyBorder="1" applyAlignment="1">
      <alignment vertical="top" wrapText="1"/>
    </xf>
    <xf numFmtId="0" fontId="11" fillId="4" borderId="2" xfId="0" applyFont="1" applyFill="1" applyBorder="1" applyAlignment="1">
      <alignment vertical="center" wrapText="1"/>
    </xf>
    <xf numFmtId="0" fontId="13" fillId="4" borderId="2" xfId="0" applyFont="1" applyFill="1" applyBorder="1" applyAlignment="1">
      <alignment horizontal="center" vertical="center" wrapText="1"/>
    </xf>
    <xf numFmtId="0" fontId="13" fillId="4" borderId="2" xfId="0" applyFont="1" applyFill="1" applyBorder="1" applyAlignment="1">
      <alignment vertical="top" wrapText="1"/>
    </xf>
    <xf numFmtId="0" fontId="13" fillId="4" borderId="2" xfId="0" applyFont="1" applyFill="1" applyBorder="1" applyAlignment="1">
      <alignment wrapText="1"/>
    </xf>
    <xf numFmtId="0" fontId="13" fillId="3" borderId="2" xfId="0" applyFont="1" applyFill="1" applyBorder="1" applyAlignment="1">
      <alignment horizontal="center" vertical="center" wrapText="1"/>
    </xf>
    <xf numFmtId="0" fontId="13" fillId="0" borderId="2" xfId="0" applyFont="1" applyBorder="1" applyAlignment="1">
      <alignment vertical="center" wrapText="1"/>
    </xf>
    <xf numFmtId="0" fontId="11" fillId="3" borderId="11" xfId="0" applyFont="1" applyFill="1" applyBorder="1" applyAlignment="1">
      <alignment vertical="top" wrapText="1"/>
    </xf>
    <xf numFmtId="0" fontId="11" fillId="3" borderId="2" xfId="0" applyFont="1" applyFill="1" applyBorder="1" applyAlignment="1">
      <alignment vertical="center" wrapText="1"/>
    </xf>
    <xf numFmtId="0" fontId="11" fillId="6" borderId="1" xfId="0" applyFont="1" applyFill="1" applyBorder="1" applyAlignment="1">
      <alignment wrapText="1"/>
    </xf>
    <xf numFmtId="0" fontId="13" fillId="3" borderId="2" xfId="0" applyFont="1" applyFill="1" applyBorder="1" applyAlignment="1">
      <alignment horizontal="left" vertical="center" wrapText="1"/>
    </xf>
    <xf numFmtId="0" fontId="11" fillId="0" borderId="2" xfId="0" applyFont="1" applyBorder="1" applyAlignment="1">
      <alignment vertical="top" wrapText="1"/>
    </xf>
    <xf numFmtId="0" fontId="11" fillId="0" borderId="2" xfId="0" applyFont="1" applyBorder="1" applyAlignment="1">
      <alignment vertical="center" wrapText="1"/>
    </xf>
    <xf numFmtId="0" fontId="11" fillId="0" borderId="6" xfId="0" applyFont="1" applyBorder="1" applyAlignment="1">
      <alignment horizontal="center" vertical="center" wrapText="1"/>
    </xf>
    <xf numFmtId="0" fontId="11" fillId="0" borderId="1" xfId="0" applyFont="1" applyBorder="1" applyAlignment="1">
      <alignment wrapText="1"/>
    </xf>
    <xf numFmtId="0" fontId="11" fillId="0" borderId="10" xfId="0" applyFont="1" applyBorder="1" applyAlignment="1">
      <alignment vertical="top" wrapText="1"/>
    </xf>
    <xf numFmtId="0" fontId="11" fillId="0" borderId="2" xfId="0" applyFont="1" applyBorder="1" applyAlignment="1">
      <alignment horizontal="center" vertical="center" wrapText="1"/>
    </xf>
    <xf numFmtId="0" fontId="11" fillId="4" borderId="2" xfId="0" applyFont="1" applyFill="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left" vertical="center" wrapText="1"/>
    </xf>
    <xf numFmtId="0" fontId="1" fillId="0" borderId="0" xfId="0" applyFont="1" applyAlignment="1">
      <alignment horizontal="center" vertical="center"/>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1" fillId="0" borderId="1" xfId="0" applyFont="1" applyBorder="1" applyAlignment="1">
      <alignment horizontal="center" vertical="center"/>
    </xf>
    <xf numFmtId="0" fontId="1" fillId="0" borderId="0" xfId="0" applyFont="1" applyAlignment="1">
      <alignment horizontal="left" vertical="center"/>
    </xf>
    <xf numFmtId="0" fontId="1" fillId="0" borderId="1" xfId="0" applyFont="1" applyBorder="1" applyAlignment="1">
      <alignment horizontal="center" vertical="center" wrapText="1"/>
    </xf>
    <xf numFmtId="0" fontId="1" fillId="3" borderId="1" xfId="0" applyFont="1" applyFill="1" applyBorder="1" applyAlignment="1">
      <alignment horizontal="left" vertical="top"/>
    </xf>
    <xf numFmtId="0" fontId="1" fillId="3" borderId="1" xfId="0" applyFont="1" applyFill="1" applyBorder="1" applyAlignment="1">
      <alignment horizontal="left" vertical="top" wrapText="1"/>
    </xf>
    <xf numFmtId="0" fontId="1" fillId="3" borderId="1" xfId="0" applyFont="1" applyFill="1" applyBorder="1" applyAlignment="1">
      <alignment horizontal="center" vertical="center"/>
    </xf>
    <xf numFmtId="0" fontId="1" fillId="0" borderId="4" xfId="0" applyFont="1" applyBorder="1" applyAlignment="1">
      <alignment horizontal="center" vertical="center"/>
    </xf>
    <xf numFmtId="0" fontId="1" fillId="0" borderId="8" xfId="0" applyFont="1" applyBorder="1" applyAlignment="1">
      <alignment horizontal="left" vertical="top" wrapText="1"/>
    </xf>
    <xf numFmtId="0" fontId="1" fillId="0" borderId="9" xfId="0" applyFont="1" applyBorder="1" applyAlignment="1">
      <alignment horizontal="center" vertical="center"/>
    </xf>
    <xf numFmtId="0" fontId="1" fillId="0" borderId="1" xfId="0" quotePrefix="1" applyFont="1" applyBorder="1" applyAlignment="1">
      <alignment horizontal="left" vertical="top" wrapText="1"/>
    </xf>
    <xf numFmtId="0" fontId="4" fillId="9" borderId="1" xfId="0" applyFont="1" applyFill="1" applyBorder="1" applyAlignment="1">
      <alignment horizontal="center" vertical="center" wrapText="1"/>
    </xf>
    <xf numFmtId="0" fontId="11" fillId="0" borderId="1" xfId="0" applyFont="1" applyBorder="1" applyAlignment="1">
      <alignment horizontal="center" vertical="center" wrapText="1" indent="1"/>
    </xf>
    <xf numFmtId="0" fontId="1" fillId="0" borderId="1" xfId="0" applyFont="1" applyBorder="1" applyAlignment="1">
      <alignment horizontal="center" vertical="center" wrapText="1" indent="1"/>
    </xf>
    <xf numFmtId="0" fontId="1" fillId="0" borderId="1" xfId="0" applyFont="1" applyBorder="1" applyAlignment="1">
      <alignment horizontal="left" vertical="center" wrapText="1"/>
    </xf>
    <xf numFmtId="0" fontId="17" fillId="0" borderId="1" xfId="0" applyFont="1" applyBorder="1" applyAlignment="1">
      <alignment horizontal="center" vertical="center" wrapText="1" indent="1"/>
    </xf>
    <xf numFmtId="0" fontId="1" fillId="0" borderId="1" xfId="0" applyFont="1" applyBorder="1" applyAlignment="1">
      <alignment horizontal="center" vertical="center" indent="1"/>
    </xf>
    <xf numFmtId="0" fontId="11" fillId="0" borderId="1" xfId="0" applyFont="1" applyBorder="1" applyAlignment="1">
      <alignment horizontal="left" vertical="center" wrapText="1"/>
    </xf>
    <xf numFmtId="1" fontId="3" fillId="3" borderId="2" xfId="0" applyNumberFormat="1" applyFont="1" applyFill="1" applyBorder="1" applyAlignment="1">
      <alignment horizontal="center" vertical="center" wrapText="1"/>
    </xf>
    <xf numFmtId="0" fontId="25" fillId="7" borderId="2" xfId="0" applyFont="1" applyFill="1" applyBorder="1" applyAlignment="1">
      <alignment horizontal="center" vertical="center" wrapText="1"/>
    </xf>
    <xf numFmtId="0" fontId="33" fillId="9" borderId="2" xfId="0" applyFont="1" applyFill="1" applyBorder="1" applyAlignment="1">
      <alignment horizontal="left" vertical="center" wrapText="1"/>
    </xf>
    <xf numFmtId="0" fontId="3" fillId="0" borderId="2" xfId="0" applyFont="1" applyBorder="1" applyAlignment="1">
      <alignment horizontal="center" vertical="center" wrapText="1"/>
    </xf>
    <xf numFmtId="0" fontId="37" fillId="0" borderId="2" xfId="0" applyFont="1" applyBorder="1" applyAlignment="1">
      <alignment horizontal="left" vertical="center" wrapText="1"/>
    </xf>
    <xf numFmtId="0" fontId="3" fillId="0" borderId="2" xfId="0" applyFont="1" applyBorder="1" applyAlignment="1">
      <alignment horizontal="left" vertical="center" wrapText="1"/>
    </xf>
    <xf numFmtId="0" fontId="25" fillId="3" borderId="2" xfId="0" applyFont="1" applyFill="1" applyBorder="1" applyAlignment="1">
      <alignment horizontal="left" vertical="center" wrapText="1"/>
    </xf>
    <xf numFmtId="0" fontId="0" fillId="0" borderId="16" xfId="0" applyBorder="1"/>
    <xf numFmtId="1" fontId="3" fillId="3" borderId="2" xfId="0" applyNumberFormat="1" applyFont="1" applyFill="1" applyBorder="1" applyAlignment="1">
      <alignment horizontal="center" vertical="center" wrapText="1"/>
    </xf>
    <xf numFmtId="0" fontId="3" fillId="3" borderId="2" xfId="0" applyFont="1" applyFill="1" applyBorder="1" applyAlignment="1">
      <alignment horizontal="center" vertical="center" wrapText="1"/>
    </xf>
    <xf numFmtId="0" fontId="0" fillId="0" borderId="14" xfId="0" applyBorder="1"/>
    <xf numFmtId="0" fontId="25" fillId="7" borderId="2" xfId="0" applyFont="1" applyFill="1" applyBorder="1" applyAlignment="1">
      <alignment horizontal="center" vertical="center" wrapText="1"/>
    </xf>
    <xf numFmtId="0" fontId="33" fillId="9" borderId="2" xfId="0" applyFont="1" applyFill="1" applyBorder="1" applyAlignment="1">
      <alignment horizontal="left" vertical="center" wrapText="1"/>
    </xf>
    <xf numFmtId="0" fontId="25" fillId="3" borderId="2" xfId="0" applyFont="1" applyFill="1" applyBorder="1" applyAlignment="1">
      <alignment vertical="center" wrapText="1"/>
    </xf>
    <xf numFmtId="0" fontId="25" fillId="3" borderId="2" xfId="0" quotePrefix="1" applyFont="1" applyFill="1" applyBorder="1" applyAlignment="1">
      <alignment horizontal="left" vertical="center" wrapText="1"/>
    </xf>
    <xf numFmtId="0" fontId="0" fillId="0" borderId="10" xfId="0" applyBorder="1"/>
    <xf numFmtId="0" fontId="0" fillId="0" borderId="2" xfId="0" quotePrefix="1" applyBorder="1"/>
    <xf numFmtId="0" fontId="35" fillId="7" borderId="2" xfId="0" applyFont="1" applyFill="1" applyBorder="1" applyAlignment="1">
      <alignment horizontal="center" vertical="center" wrapText="1"/>
    </xf>
    <xf numFmtId="0" fontId="37" fillId="0" borderId="2" xfId="0" applyFont="1" applyBorder="1" applyAlignment="1">
      <alignment horizontal="left" vertical="top" wrapText="1"/>
    </xf>
    <xf numFmtId="0" fontId="0" fillId="0" borderId="12" xfId="0" applyBorder="1"/>
    <xf numFmtId="0" fontId="7" fillId="0" borderId="2" xfId="0" applyFont="1" applyBorder="1" applyAlignment="1">
      <alignment horizontal="left" vertical="top" wrapText="1"/>
    </xf>
    <xf numFmtId="0" fontId="3" fillId="0" borderId="2" xfId="0" applyFont="1" applyBorder="1" applyAlignment="1">
      <alignment horizontal="center" vertical="center" wrapText="1"/>
    </xf>
    <xf numFmtId="0" fontId="37" fillId="0" borderId="2" xfId="0" applyFont="1" applyBorder="1" applyAlignment="1">
      <alignment horizontal="left" vertical="center" wrapText="1"/>
    </xf>
    <xf numFmtId="0" fontId="3" fillId="0" borderId="2" xfId="0" applyFont="1" applyBorder="1" applyAlignment="1">
      <alignment horizontal="left" vertical="center" wrapText="1"/>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
  <sheetViews>
    <sheetView showGridLines="0" tabSelected="1" zoomScale="90" zoomScaleNormal="90" workbookViewId="0">
      <selection activeCell="G13" sqref="G13"/>
    </sheetView>
  </sheetViews>
  <sheetFormatPr defaultColWidth="9.140625" defaultRowHeight="12.75"/>
  <cols>
    <col min="1" max="1" width="4" style="161" customWidth="1"/>
    <col min="2" max="2" width="21.42578125" style="161" customWidth="1"/>
    <col min="3" max="7" width="9.140625" style="161" customWidth="1"/>
    <col min="8" max="8" width="12.85546875" style="161" customWidth="1"/>
    <col min="9" max="9" width="9.140625" style="161" customWidth="1"/>
    <col min="10" max="10" width="8.5703125" style="161" customWidth="1"/>
    <col min="11" max="11" width="10" style="161" customWidth="1"/>
    <col min="12" max="17" width="9.140625" style="161" customWidth="1"/>
    <col min="18" max="16384" width="9.140625" style="161"/>
  </cols>
  <sheetData>
    <row r="1" spans="1:11" ht="13.5" customHeight="1"/>
    <row r="2" spans="1:11" ht="15" customHeight="1">
      <c r="B2" s="308" t="s">
        <v>0</v>
      </c>
      <c r="C2" s="307"/>
      <c r="D2" s="307"/>
      <c r="E2" s="307"/>
      <c r="F2" s="307"/>
      <c r="G2" s="307"/>
      <c r="H2" s="307"/>
      <c r="I2" s="307"/>
      <c r="J2" s="307"/>
      <c r="K2" s="304"/>
    </row>
    <row r="3" spans="1:11" ht="18.75" customHeight="1">
      <c r="B3" s="299" t="s">
        <v>1</v>
      </c>
      <c r="C3" s="310" t="s">
        <v>2</v>
      </c>
      <c r="D3" s="307"/>
      <c r="E3" s="304"/>
      <c r="F3" s="309" t="s">
        <v>3</v>
      </c>
      <c r="G3" s="307"/>
      <c r="H3" s="307"/>
      <c r="I3" s="304"/>
      <c r="J3" s="311" t="s">
        <v>4</v>
      </c>
      <c r="K3" s="304"/>
    </row>
    <row r="4" spans="1:11" ht="18.75" customHeight="1">
      <c r="B4" s="299" t="s">
        <v>5</v>
      </c>
      <c r="C4" s="313" t="s">
        <v>6</v>
      </c>
      <c r="D4" s="307"/>
      <c r="E4" s="307"/>
      <c r="F4" s="307"/>
      <c r="G4" s="307"/>
      <c r="H4" s="307"/>
      <c r="I4" s="307"/>
      <c r="J4" s="307"/>
      <c r="K4" s="304"/>
    </row>
    <row r="5" spans="1:11" ht="18.75" customHeight="1">
      <c r="B5" s="299" t="s">
        <v>7</v>
      </c>
      <c r="C5" s="311" t="s">
        <v>8</v>
      </c>
      <c r="D5" s="307"/>
      <c r="E5" s="304"/>
      <c r="F5" s="309" t="s">
        <v>9</v>
      </c>
      <c r="G5" s="307"/>
      <c r="H5" s="307"/>
      <c r="I5" s="304"/>
      <c r="J5" s="303" t="s">
        <v>10</v>
      </c>
      <c r="K5" s="304"/>
    </row>
    <row r="6" spans="1:11" ht="15" customHeight="1">
      <c r="B6" s="306"/>
      <c r="C6" s="307"/>
      <c r="D6" s="307"/>
      <c r="E6" s="307"/>
      <c r="F6" s="307"/>
      <c r="G6" s="307"/>
      <c r="H6" s="307"/>
      <c r="I6" s="307"/>
      <c r="J6" s="307"/>
      <c r="K6" s="304"/>
    </row>
    <row r="7" spans="1:11" ht="15" customHeight="1">
      <c r="B7" s="308" t="s">
        <v>11</v>
      </c>
      <c r="C7" s="308" t="s">
        <v>12</v>
      </c>
      <c r="D7" s="307"/>
      <c r="E7" s="307"/>
      <c r="F7" s="307"/>
      <c r="G7" s="307"/>
      <c r="H7" s="307"/>
      <c r="I7" s="304"/>
      <c r="J7" s="308" t="s">
        <v>13</v>
      </c>
      <c r="K7" s="304"/>
    </row>
    <row r="8" spans="1:11" ht="27.75" customHeight="1">
      <c r="B8" s="312"/>
      <c r="C8" s="298" t="s">
        <v>14</v>
      </c>
      <c r="D8" s="298" t="s">
        <v>15</v>
      </c>
      <c r="E8" s="298" t="s">
        <v>16</v>
      </c>
      <c r="F8" s="298" t="s">
        <v>17</v>
      </c>
      <c r="G8" s="298" t="s">
        <v>18</v>
      </c>
      <c r="H8" s="298" t="s">
        <v>19</v>
      </c>
      <c r="I8" s="298" t="s">
        <v>20</v>
      </c>
      <c r="J8" s="314"/>
      <c r="K8" s="304"/>
    </row>
    <row r="9" spans="1:11" ht="14.25" customHeight="1">
      <c r="A9" s="161">
        <v>20</v>
      </c>
      <c r="B9" s="131" t="s">
        <v>21</v>
      </c>
      <c r="C9" s="132">
        <f>COUNTA('Login &amp; Profile'!A2:A27)</f>
        <v>26</v>
      </c>
      <c r="D9" s="297">
        <f>COUNTIF('Login &amp; Profile'!I2:I27,"PASS*")</f>
        <v>0</v>
      </c>
      <c r="E9" s="297">
        <f>COUNTIF('Login &amp; Profile'!I2:I27,"FAIL")</f>
        <v>0</v>
      </c>
      <c r="F9" s="297">
        <f>COUNTIF('Login &amp; Profile'!I2:I27,"NA")</f>
        <v>0</v>
      </c>
      <c r="G9" s="297">
        <f>COUNTIF('Login &amp; Profile'!I2:I27,"NT")</f>
        <v>0</v>
      </c>
      <c r="H9" s="133">
        <f t="shared" ref="H9:H24" si="0">(D9+E9+F9+G9)/C9</f>
        <v>0</v>
      </c>
      <c r="I9" s="133">
        <f t="shared" ref="I9:I24" si="1">D9/C9</f>
        <v>0</v>
      </c>
      <c r="J9" s="305"/>
      <c r="K9" s="304"/>
    </row>
    <row r="10" spans="1:11" ht="14.25" customHeight="1">
      <c r="A10" s="161">
        <v>58</v>
      </c>
      <c r="B10" s="131" t="s">
        <v>22</v>
      </c>
      <c r="C10" s="132">
        <f>COUNTA(Dashboard!A2:A73)</f>
        <v>70</v>
      </c>
      <c r="D10" s="297">
        <f>COUNTIF(Dashboard!I2:I73,"PASS*")</f>
        <v>0</v>
      </c>
      <c r="E10" s="297">
        <f>COUNTIF(Dashboard!I2:I70,"FAIL")</f>
        <v>0</v>
      </c>
      <c r="F10" s="297">
        <f>COUNTIF(Dashboard!I2:I70,"NA")</f>
        <v>0</v>
      </c>
      <c r="G10" s="297">
        <f>COUNTIF(Dashboard!I2:I68,"NT")</f>
        <v>0</v>
      </c>
      <c r="H10" s="133">
        <f t="shared" si="0"/>
        <v>0</v>
      </c>
      <c r="I10" s="133">
        <f t="shared" si="1"/>
        <v>0</v>
      </c>
      <c r="J10" s="305"/>
      <c r="K10" s="304"/>
    </row>
    <row r="11" spans="1:11" ht="14.25" customHeight="1">
      <c r="A11" s="161">
        <v>69</v>
      </c>
      <c r="B11" s="131" t="s">
        <v>23</v>
      </c>
      <c r="C11" s="132">
        <f>COUNTA(Materials!A2:A83)</f>
        <v>79</v>
      </c>
      <c r="D11" s="297">
        <f>COUNTIF(Materials!I2:I81,"PASS*")</f>
        <v>0</v>
      </c>
      <c r="E11" s="297">
        <f>COUNTIF(Materials!I2:I81,"FAIL")</f>
        <v>0</v>
      </c>
      <c r="F11" s="297">
        <f>COUNTIF(Materials!I2:I78,"NA")</f>
        <v>0</v>
      </c>
      <c r="G11" s="297">
        <f>COUNTIF(Materials!I2:I78,"NT")</f>
        <v>0</v>
      </c>
      <c r="H11" s="133">
        <f t="shared" si="0"/>
        <v>0</v>
      </c>
      <c r="I11" s="133">
        <f t="shared" si="1"/>
        <v>0</v>
      </c>
      <c r="J11" s="305"/>
      <c r="K11" s="304"/>
    </row>
    <row r="12" spans="1:11" ht="15" customHeight="1">
      <c r="A12" s="161">
        <v>74</v>
      </c>
      <c r="B12" s="131" t="s">
        <v>24</v>
      </c>
      <c r="C12" s="132">
        <f>COUNTA(Layouts!A2:A217)</f>
        <v>210</v>
      </c>
      <c r="D12" s="297">
        <f>COUNTIF(Layouts!I2:I217,"PASS*")</f>
        <v>0</v>
      </c>
      <c r="E12" s="297">
        <f>COUNTIF(Layouts!I2:I217,"FAIL")</f>
        <v>0</v>
      </c>
      <c r="F12" s="297">
        <f>COUNTIF(Layouts!I2:I217,"NA")</f>
        <v>0</v>
      </c>
      <c r="G12" s="297">
        <f>COUNTIF(Layouts!I2:I217,"NT")</f>
        <v>0</v>
      </c>
      <c r="H12" s="133">
        <f t="shared" si="0"/>
        <v>0</v>
      </c>
      <c r="I12" s="133">
        <f t="shared" si="1"/>
        <v>0</v>
      </c>
      <c r="J12" s="305"/>
      <c r="K12" s="304"/>
    </row>
    <row r="13" spans="1:11" ht="15" customHeight="1">
      <c r="B13" s="131" t="s">
        <v>25</v>
      </c>
      <c r="C13" s="132">
        <f>COUNTA(LayoutApproval!A2:A22)</f>
        <v>20</v>
      </c>
      <c r="D13" s="297">
        <f>COUNTIF(LayoutApproval!I:I,"PASS*")</f>
        <v>0</v>
      </c>
      <c r="E13" s="297">
        <f>COUNTIF(LayoutApproval!I:I,"FAIL")</f>
        <v>0</v>
      </c>
      <c r="F13" s="297">
        <f>COUNTIF(LayoutApproval!I:I,"NA")</f>
        <v>0</v>
      </c>
      <c r="G13" s="297">
        <f>COUNTIF(LayoutApproval!I:I,"NT")</f>
        <v>0</v>
      </c>
      <c r="H13" s="133">
        <f t="shared" si="0"/>
        <v>0</v>
      </c>
      <c r="I13" s="133">
        <f t="shared" si="1"/>
        <v>0</v>
      </c>
      <c r="J13" s="305"/>
      <c r="K13" s="304"/>
    </row>
    <row r="14" spans="1:11" ht="15" customHeight="1">
      <c r="A14" s="161">
        <v>73</v>
      </c>
      <c r="B14" s="131" t="s">
        <v>26</v>
      </c>
      <c r="C14" s="132">
        <f>COUNTA(Playlists!A2:A113)</f>
        <v>112</v>
      </c>
      <c r="D14" s="297">
        <f>COUNTIF(Playlists!I2:I120,"PASS*")</f>
        <v>0</v>
      </c>
      <c r="E14" s="297">
        <f>COUNTIF(Playlists!I2:I120,"FAIL")</f>
        <v>0</v>
      </c>
      <c r="F14" s="297">
        <f>COUNTIF(Playlists!I1:I120,"NA")</f>
        <v>0</v>
      </c>
      <c r="G14" s="297">
        <f>COUNTIF(Playlists!I2:I120,"NT")</f>
        <v>0</v>
      </c>
      <c r="H14" s="133">
        <f t="shared" si="0"/>
        <v>0</v>
      </c>
      <c r="I14" s="133">
        <f t="shared" si="1"/>
        <v>0</v>
      </c>
      <c r="J14" s="305"/>
      <c r="K14" s="304"/>
    </row>
    <row r="15" spans="1:11" ht="15" customHeight="1">
      <c r="A15" s="161">
        <v>77</v>
      </c>
      <c r="B15" s="131" t="s">
        <v>27</v>
      </c>
      <c r="C15" s="132">
        <f>COUNTA(Schedules!A2:A116)</f>
        <v>112</v>
      </c>
      <c r="D15" s="297">
        <f>COUNTIF(Schedules!I2:I116,"PASS*")</f>
        <v>0</v>
      </c>
      <c r="E15" s="297">
        <f>COUNTIF(Schedules!I2:I116,"FAIL")</f>
        <v>0</v>
      </c>
      <c r="F15" s="297">
        <f>COUNTIF(Schedules!I2:I118,"NA")</f>
        <v>0</v>
      </c>
      <c r="G15" s="297">
        <f>COUNTIF(Schedules!I2:I118,"NT")</f>
        <v>0</v>
      </c>
      <c r="H15" s="133">
        <f t="shared" si="0"/>
        <v>0</v>
      </c>
      <c r="I15" s="133">
        <f t="shared" si="1"/>
        <v>0</v>
      </c>
      <c r="J15" s="305"/>
      <c r="K15" s="304"/>
    </row>
    <row r="16" spans="1:11" ht="15" customHeight="1">
      <c r="A16" s="161">
        <v>57</v>
      </c>
      <c r="B16" s="131" t="s">
        <v>28</v>
      </c>
      <c r="C16" s="132">
        <f>COUNTA(Displays!A2:A87)</f>
        <v>86</v>
      </c>
      <c r="D16" s="297">
        <f>COUNTIF(Displays!I:I,"PASS*")</f>
        <v>0</v>
      </c>
      <c r="E16" s="297">
        <f>COUNTIF(Displays!I:I,"FAIL")</f>
        <v>0</v>
      </c>
      <c r="F16" s="297">
        <f>COUNTIF(Displays!I:I,"NA")</f>
        <v>0</v>
      </c>
      <c r="G16" s="297">
        <f>COUNTIF(Displays!I:I,"NT")</f>
        <v>0</v>
      </c>
      <c r="H16" s="133">
        <f t="shared" si="0"/>
        <v>0</v>
      </c>
      <c r="I16" s="133">
        <f t="shared" si="1"/>
        <v>0</v>
      </c>
      <c r="J16" s="305"/>
      <c r="K16" s="304"/>
    </row>
    <row r="17" spans="1:11" ht="15" customHeight="1">
      <c r="A17" s="161">
        <v>98</v>
      </c>
      <c r="B17" s="131" t="s">
        <v>29</v>
      </c>
      <c r="C17" s="132">
        <f>COUNTA('User Access'!A2:A105)</f>
        <v>102</v>
      </c>
      <c r="D17" s="297">
        <f>COUNTIF('User Access'!I2:I103,"PASS*")</f>
        <v>0</v>
      </c>
      <c r="E17" s="297">
        <f>COUNTIF('User Access'!I2:I102,"FAIL")</f>
        <v>0</v>
      </c>
      <c r="F17" s="297">
        <f>COUNTIF('User Access'!I2:I102,"NA")</f>
        <v>0</v>
      </c>
      <c r="G17" s="297">
        <f>COUNTIF('User Access'!I2:I102,"NT")</f>
        <v>0</v>
      </c>
      <c r="H17" s="133">
        <f t="shared" si="0"/>
        <v>0</v>
      </c>
      <c r="I17" s="133">
        <f t="shared" si="1"/>
        <v>0</v>
      </c>
      <c r="J17" s="305"/>
      <c r="K17" s="304"/>
    </row>
    <row r="18" spans="1:11" ht="15" customHeight="1">
      <c r="A18" s="161">
        <v>29</v>
      </c>
      <c r="B18" s="131" t="s">
        <v>30</v>
      </c>
      <c r="C18" s="132">
        <f>COUNTA('Display Status'!A2:A48)</f>
        <v>43</v>
      </c>
      <c r="D18" s="297">
        <f>COUNTIF('Display Status'!I2:I49,"PASS*")</f>
        <v>0</v>
      </c>
      <c r="E18" s="297">
        <f>COUNTIF('Display Status'!I2:I43,"FAIL")</f>
        <v>0</v>
      </c>
      <c r="F18" s="297">
        <f>COUNTIF('Display Status'!I2:I43,"NA")</f>
        <v>0</v>
      </c>
      <c r="G18" s="297">
        <f>COUNTIF('Display Status'!I2:I43,"NT")</f>
        <v>0</v>
      </c>
      <c r="H18" s="133">
        <f t="shared" si="0"/>
        <v>0</v>
      </c>
      <c r="I18" s="133">
        <f t="shared" si="1"/>
        <v>0</v>
      </c>
      <c r="J18" s="305"/>
      <c r="K18" s="304"/>
    </row>
    <row r="19" spans="1:11" ht="15" customHeight="1">
      <c r="B19" s="131" t="s">
        <v>31</v>
      </c>
      <c r="C19" s="132">
        <f>COUNTA('Live Monitoring'!A2:A21)</f>
        <v>17</v>
      </c>
      <c r="D19" s="297">
        <f>COUNTIF('Live Monitoring'!I2:I18,"Pass")</f>
        <v>0</v>
      </c>
      <c r="E19" s="297">
        <f>COUNTIF('Live Monitoring'!I2:I18,"Fail")</f>
        <v>0</v>
      </c>
      <c r="F19" s="297">
        <f>COUNTIF('Live Monitoring'!I2:I18,"NA")</f>
        <v>0</v>
      </c>
      <c r="G19" s="297">
        <f>COUNTIF('Live Monitoring'!I2:I18,"NT")</f>
        <v>0</v>
      </c>
      <c r="H19" s="133">
        <f t="shared" si="0"/>
        <v>0</v>
      </c>
      <c r="I19" s="133">
        <f t="shared" si="1"/>
        <v>0</v>
      </c>
      <c r="J19" s="305"/>
      <c r="K19" s="304"/>
    </row>
    <row r="20" spans="1:11" ht="15" customHeight="1">
      <c r="B20" s="131" t="s">
        <v>32</v>
      </c>
      <c r="C20" s="132">
        <f>COUNTA(Reports!A2:A75)</f>
        <v>71</v>
      </c>
      <c r="D20" s="297">
        <f>COUNTIF(Reports!I2:I75,"PASS*")</f>
        <v>0</v>
      </c>
      <c r="E20" s="297">
        <f>COUNTIF(Reports!I2:I71,"FAIL")</f>
        <v>0</v>
      </c>
      <c r="F20" s="297">
        <f>COUNTIF(Reports!I2:I71,"NA")</f>
        <v>0</v>
      </c>
      <c r="G20" s="297">
        <f>COUNTIF(Reports!I2:I71,"NT")</f>
        <v>0</v>
      </c>
      <c r="H20" s="133">
        <f t="shared" si="0"/>
        <v>0</v>
      </c>
      <c r="I20" s="133">
        <f t="shared" si="1"/>
        <v>0</v>
      </c>
      <c r="J20" s="305"/>
      <c r="K20" s="304"/>
    </row>
    <row r="21" spans="1:11" ht="15" customHeight="1">
      <c r="A21" s="161">
        <v>14</v>
      </c>
      <c r="B21" s="131" t="s">
        <v>33</v>
      </c>
      <c r="C21" s="132">
        <f>COUNTA('Emergenecy Alerts'!A2:A20)</f>
        <v>15</v>
      </c>
      <c r="D21" s="297">
        <f>COUNTIF('Emergenecy Alerts'!I2:I16,"PASS*")</f>
        <v>0</v>
      </c>
      <c r="E21" s="297">
        <f>COUNTIF('Emergenecy Alerts'!I2:I12,"FAIL")</f>
        <v>0</v>
      </c>
      <c r="F21" s="297">
        <f>COUNTIF('Emergenecy Alerts'!I2:I12,"NA")</f>
        <v>0</v>
      </c>
      <c r="G21" s="297">
        <f>COUNTIF('Emergenecy Alerts'!I2:I12,"NT")</f>
        <v>0</v>
      </c>
      <c r="H21" s="133">
        <f t="shared" si="0"/>
        <v>0</v>
      </c>
      <c r="I21" s="133">
        <f t="shared" si="1"/>
        <v>0</v>
      </c>
      <c r="J21" s="305"/>
      <c r="K21" s="304"/>
    </row>
    <row r="22" spans="1:11" ht="15" customHeight="1">
      <c r="B22" s="131" t="s">
        <v>34</v>
      </c>
      <c r="C22" s="132">
        <f>COUNTA('System Test'!A2:A19)</f>
        <v>13</v>
      </c>
      <c r="D22" s="297">
        <f>COUNTIF('System Test'!I2:I15,"PASS")</f>
        <v>0</v>
      </c>
      <c r="E22" s="297">
        <f>COUNTIF('System Test'!I2:I15,"FAIL")</f>
        <v>0</v>
      </c>
      <c r="F22" s="297">
        <f>COUNTIF('System Test'!I2:I15,"NA")</f>
        <v>0</v>
      </c>
      <c r="G22" s="297">
        <f>COUNTIF('System Test'!I2:I16,"NT")</f>
        <v>0</v>
      </c>
      <c r="H22" s="133">
        <f t="shared" si="0"/>
        <v>0</v>
      </c>
      <c r="I22" s="133">
        <f t="shared" si="1"/>
        <v>0</v>
      </c>
      <c r="J22" s="305"/>
      <c r="K22" s="304"/>
    </row>
    <row r="23" spans="1:11" ht="14.25" customHeight="1">
      <c r="B23" s="131" t="s">
        <v>35</v>
      </c>
      <c r="C23" s="132">
        <f>COUNTA('Long Duration'!A2:A19)</f>
        <v>14</v>
      </c>
      <c r="D23" s="297">
        <f>COUNTIF('Long Duration'!F2:F19,"PASS")</f>
        <v>0</v>
      </c>
      <c r="E23" s="297">
        <f>COUNTIF('Long Duration'!F2:F19,"FAIL")</f>
        <v>0</v>
      </c>
      <c r="F23" s="297">
        <f>COUNTIF('Long Duration'!F2:F19,"NA")</f>
        <v>0</v>
      </c>
      <c r="G23" s="297">
        <f>COUNTIF('Long Duration'!F2:F19,"NT")</f>
        <v>0</v>
      </c>
      <c r="H23" s="133">
        <f t="shared" si="0"/>
        <v>0</v>
      </c>
      <c r="I23" s="133">
        <f t="shared" si="1"/>
        <v>0</v>
      </c>
      <c r="J23" s="305"/>
      <c r="K23" s="304"/>
    </row>
    <row r="24" spans="1:11" ht="15" customHeight="1">
      <c r="B24" s="134" t="s">
        <v>36</v>
      </c>
      <c r="C24" s="297">
        <f>SUM(C9:C23)</f>
        <v>990</v>
      </c>
      <c r="D24" s="297">
        <f>SUM(D9:D23)</f>
        <v>0</v>
      </c>
      <c r="E24" s="297">
        <f>SUM(E9:E23)</f>
        <v>0</v>
      </c>
      <c r="F24" s="297">
        <f>SUM(F9:F23)</f>
        <v>0</v>
      </c>
      <c r="G24" s="297">
        <f>SUM(G9:G23)</f>
        <v>0</v>
      </c>
      <c r="H24" s="133">
        <f t="shared" si="0"/>
        <v>0</v>
      </c>
      <c r="I24" s="133">
        <f t="shared" si="1"/>
        <v>0</v>
      </c>
      <c r="J24" s="305"/>
      <c r="K24" s="304"/>
    </row>
    <row r="25" spans="1:11" ht="13.5" customHeight="1"/>
  </sheetData>
  <mergeCells count="29">
    <mergeCell ref="C3:E3"/>
    <mergeCell ref="B2:K2"/>
    <mergeCell ref="F5:I5"/>
    <mergeCell ref="J22:K22"/>
    <mergeCell ref="J3:K3"/>
    <mergeCell ref="J21:K21"/>
    <mergeCell ref="J12:K12"/>
    <mergeCell ref="C5:E5"/>
    <mergeCell ref="B7:B8"/>
    <mergeCell ref="J18:K18"/>
    <mergeCell ref="C4:K4"/>
    <mergeCell ref="J8:K8"/>
    <mergeCell ref="J17:K17"/>
    <mergeCell ref="J24:K24"/>
    <mergeCell ref="J15:K15"/>
    <mergeCell ref="J11:K11"/>
    <mergeCell ref="J20:K20"/>
    <mergeCell ref="F3:I3"/>
    <mergeCell ref="J16:K16"/>
    <mergeCell ref="J7:K7"/>
    <mergeCell ref="J23:K23"/>
    <mergeCell ref="J5:K5"/>
    <mergeCell ref="J14:K14"/>
    <mergeCell ref="J10:K10"/>
    <mergeCell ref="J19:K19"/>
    <mergeCell ref="B6:K6"/>
    <mergeCell ref="C7:I7"/>
    <mergeCell ref="J13:K13"/>
    <mergeCell ref="J9:K9"/>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72"/>
  <sheetViews>
    <sheetView workbookViewId="0">
      <selection activeCell="B7" sqref="A1:D172"/>
    </sheetView>
  </sheetViews>
  <sheetFormatPr defaultRowHeight="15"/>
  <cols>
    <col min="2" max="2" width="124.140625" customWidth="1"/>
  </cols>
  <sheetData>
    <row r="1" spans="1:4">
      <c r="A1" s="233"/>
      <c r="B1" s="234"/>
      <c r="C1" s="233"/>
      <c r="D1" s="233"/>
    </row>
    <row r="2" spans="1:4">
      <c r="A2" s="235"/>
      <c r="B2" s="236"/>
      <c r="C2" s="235"/>
      <c r="D2" s="235"/>
    </row>
    <row r="3" spans="1:4">
      <c r="A3" s="235"/>
      <c r="B3" s="236"/>
      <c r="C3" s="235"/>
      <c r="D3" s="235"/>
    </row>
    <row r="4" spans="1:4">
      <c r="A4" s="235"/>
      <c r="B4" s="236"/>
      <c r="C4" s="235"/>
      <c r="D4" s="235"/>
    </row>
    <row r="5" spans="1:4">
      <c r="A5" s="235"/>
      <c r="B5" s="236"/>
      <c r="C5" s="235"/>
      <c r="D5" s="235"/>
    </row>
    <row r="6" spans="1:4">
      <c r="A6" s="235"/>
      <c r="B6" s="236"/>
      <c r="C6" s="235"/>
      <c r="D6" s="235"/>
    </row>
    <row r="7" spans="1:4">
      <c r="A7" s="235"/>
      <c r="B7" s="236"/>
      <c r="C7" s="235"/>
      <c r="D7" s="235"/>
    </row>
    <row r="8" spans="1:4">
      <c r="A8" s="235"/>
      <c r="B8" s="236"/>
      <c r="C8" s="235"/>
      <c r="D8" s="235"/>
    </row>
    <row r="9" spans="1:4">
      <c r="A9" s="235"/>
      <c r="B9" s="236"/>
      <c r="C9" s="235"/>
      <c r="D9" s="235"/>
    </row>
    <row r="10" spans="1:4">
      <c r="A10" s="235"/>
      <c r="B10" s="236"/>
      <c r="C10" s="235"/>
      <c r="D10" s="235"/>
    </row>
    <row r="11" spans="1:4">
      <c r="A11" s="235"/>
      <c r="B11" s="236"/>
      <c r="C11" s="235"/>
      <c r="D11" s="235"/>
    </row>
    <row r="12" spans="1:4">
      <c r="A12" s="235"/>
      <c r="B12" s="236"/>
      <c r="C12" s="235"/>
      <c r="D12" s="235"/>
    </row>
    <row r="13" spans="1:4">
      <c r="A13" s="235"/>
      <c r="B13" s="236"/>
      <c r="C13" s="235"/>
      <c r="D13" s="235"/>
    </row>
    <row r="14" spans="1:4">
      <c r="A14" s="235"/>
      <c r="B14" s="236"/>
      <c r="C14" s="235"/>
      <c r="D14" s="235"/>
    </row>
    <row r="15" spans="1:4">
      <c r="A15" s="235"/>
      <c r="B15" s="236"/>
      <c r="C15" s="235"/>
      <c r="D15" s="235"/>
    </row>
    <row r="16" spans="1:4">
      <c r="A16" s="235"/>
      <c r="B16" s="236"/>
      <c r="C16" s="235"/>
      <c r="D16" s="235"/>
    </row>
    <row r="17" spans="1:4">
      <c r="A17" s="235"/>
      <c r="B17" s="236"/>
      <c r="C17" s="235"/>
      <c r="D17" s="235"/>
    </row>
    <row r="18" spans="1:4">
      <c r="A18" s="235"/>
      <c r="B18" s="236"/>
      <c r="C18" s="235"/>
      <c r="D18" s="235"/>
    </row>
    <row r="19" spans="1:4">
      <c r="A19" s="235"/>
      <c r="B19" s="236"/>
      <c r="C19" s="235"/>
      <c r="D19" s="235"/>
    </row>
    <row r="20" spans="1:4">
      <c r="A20" s="235"/>
      <c r="B20" s="236"/>
      <c r="C20" s="235"/>
      <c r="D20" s="235"/>
    </row>
    <row r="21" spans="1:4">
      <c r="A21" s="235"/>
      <c r="B21" s="236"/>
      <c r="C21" s="235"/>
      <c r="D21" s="235"/>
    </row>
    <row r="22" spans="1:4">
      <c r="A22" s="235"/>
      <c r="B22" s="236"/>
      <c r="C22" s="235"/>
      <c r="D22" s="235"/>
    </row>
    <row r="23" spans="1:4">
      <c r="A23" s="235"/>
      <c r="B23" s="236"/>
      <c r="C23" s="235"/>
      <c r="D23" s="235"/>
    </row>
    <row r="24" spans="1:4">
      <c r="A24" s="235"/>
      <c r="B24" s="236"/>
      <c r="C24" s="235"/>
      <c r="D24" s="235"/>
    </row>
    <row r="25" spans="1:4">
      <c r="A25" s="235"/>
      <c r="B25" s="236"/>
      <c r="C25" s="235"/>
      <c r="D25" s="235"/>
    </row>
    <row r="26" spans="1:4">
      <c r="A26" s="235"/>
      <c r="B26" s="236"/>
      <c r="C26" s="235"/>
      <c r="D26" s="235"/>
    </row>
    <row r="27" spans="1:4">
      <c r="A27" s="235"/>
      <c r="B27" s="236"/>
      <c r="C27" s="235"/>
      <c r="D27" s="235"/>
    </row>
    <row r="28" spans="1:4">
      <c r="A28" s="235"/>
      <c r="B28" s="236"/>
      <c r="C28" s="235"/>
      <c r="D28" s="235"/>
    </row>
    <row r="29" spans="1:4">
      <c r="A29" s="235"/>
      <c r="B29" s="236"/>
      <c r="C29" s="235"/>
      <c r="D29" s="235"/>
    </row>
    <row r="30" spans="1:4">
      <c r="A30" s="235"/>
      <c r="B30" s="236"/>
      <c r="C30" s="235"/>
      <c r="D30" s="235"/>
    </row>
    <row r="31" spans="1:4">
      <c r="A31" s="235"/>
      <c r="B31" s="236"/>
      <c r="C31" s="235"/>
      <c r="D31" s="235"/>
    </row>
    <row r="32" spans="1:4">
      <c r="A32" s="235"/>
      <c r="B32" s="236"/>
      <c r="C32" s="235"/>
      <c r="D32" s="235"/>
    </row>
    <row r="33" spans="1:4">
      <c r="A33" s="235"/>
      <c r="B33" s="236"/>
      <c r="C33" s="235"/>
      <c r="D33" s="235"/>
    </row>
    <row r="34" spans="1:4">
      <c r="A34" s="235"/>
      <c r="B34" s="236"/>
      <c r="C34" s="235"/>
      <c r="D34" s="235"/>
    </row>
    <row r="35" spans="1:4">
      <c r="A35" s="235"/>
      <c r="B35" s="236"/>
      <c r="C35" s="235"/>
      <c r="D35" s="235"/>
    </row>
    <row r="36" spans="1:4">
      <c r="A36" s="235"/>
      <c r="B36" s="236"/>
      <c r="C36" s="235"/>
      <c r="D36" s="235"/>
    </row>
    <row r="37" spans="1:4">
      <c r="A37" s="235"/>
      <c r="B37" s="236"/>
      <c r="C37" s="235"/>
      <c r="D37" s="235"/>
    </row>
    <row r="38" spans="1:4">
      <c r="A38" s="235"/>
      <c r="B38" s="236"/>
      <c r="C38" s="235"/>
      <c r="D38" s="235"/>
    </row>
    <row r="39" spans="1:4">
      <c r="A39" s="235"/>
      <c r="B39" s="236"/>
      <c r="C39" s="235"/>
      <c r="D39" s="235"/>
    </row>
    <row r="40" spans="1:4">
      <c r="A40" s="235"/>
      <c r="B40" s="236"/>
      <c r="C40" s="235"/>
      <c r="D40" s="235"/>
    </row>
    <row r="41" spans="1:4">
      <c r="A41" s="235"/>
      <c r="B41" s="236"/>
      <c r="C41" s="235"/>
      <c r="D41" s="235"/>
    </row>
    <row r="42" spans="1:4">
      <c r="A42" s="235"/>
      <c r="B42" s="236"/>
      <c r="C42" s="235"/>
      <c r="D42" s="235"/>
    </row>
    <row r="43" spans="1:4">
      <c r="A43" s="235"/>
      <c r="B43" s="236"/>
      <c r="C43" s="235"/>
      <c r="D43" s="235"/>
    </row>
    <row r="44" spans="1:4">
      <c r="A44" s="235"/>
      <c r="B44" s="236"/>
      <c r="C44" s="235"/>
      <c r="D44" s="235"/>
    </row>
    <row r="45" spans="1:4">
      <c r="A45" s="235"/>
      <c r="B45" s="236"/>
      <c r="C45" s="235"/>
      <c r="D45" s="235"/>
    </row>
    <row r="46" spans="1:4">
      <c r="A46" s="235"/>
      <c r="B46" s="236"/>
      <c r="C46" s="235"/>
      <c r="D46" s="235"/>
    </row>
    <row r="47" spans="1:4">
      <c r="A47" s="235"/>
      <c r="B47" s="236"/>
      <c r="C47" s="235"/>
      <c r="D47" s="235"/>
    </row>
    <row r="48" spans="1:4">
      <c r="A48" s="235"/>
      <c r="B48" s="236"/>
      <c r="C48" s="235"/>
      <c r="D48" s="235"/>
    </row>
    <row r="49" spans="1:4">
      <c r="A49" s="235"/>
      <c r="B49" s="236"/>
      <c r="C49" s="235"/>
      <c r="D49" s="235"/>
    </row>
    <row r="50" spans="1:4">
      <c r="A50" s="235"/>
      <c r="B50" s="236"/>
      <c r="C50" s="235"/>
      <c r="D50" s="235"/>
    </row>
    <row r="51" spans="1:4">
      <c r="A51" s="235"/>
      <c r="B51" s="236"/>
      <c r="C51" s="235"/>
      <c r="D51" s="235"/>
    </row>
    <row r="52" spans="1:4">
      <c r="A52" s="235"/>
      <c r="B52" s="236"/>
      <c r="C52" s="235"/>
      <c r="D52" s="235"/>
    </row>
    <row r="53" spans="1:4">
      <c r="A53" s="235"/>
      <c r="B53" s="236"/>
      <c r="C53" s="235"/>
      <c r="D53" s="235"/>
    </row>
    <row r="54" spans="1:4">
      <c r="A54" s="235"/>
      <c r="B54" s="236"/>
      <c r="C54" s="235"/>
      <c r="D54" s="235"/>
    </row>
    <row r="55" spans="1:4">
      <c r="A55" s="235"/>
      <c r="B55" s="236"/>
      <c r="C55" s="235"/>
      <c r="D55" s="235"/>
    </row>
    <row r="56" spans="1:4">
      <c r="A56" s="235"/>
      <c r="B56" s="236"/>
      <c r="C56" s="235"/>
      <c r="D56" s="235"/>
    </row>
    <row r="57" spans="1:4">
      <c r="A57" s="235"/>
      <c r="B57" s="236"/>
      <c r="C57" s="235"/>
      <c r="D57" s="235"/>
    </row>
    <row r="58" spans="1:4">
      <c r="A58" s="235"/>
      <c r="B58" s="236"/>
      <c r="C58" s="235"/>
      <c r="D58" s="235"/>
    </row>
    <row r="59" spans="1:4">
      <c r="A59" s="235"/>
      <c r="B59" s="236"/>
      <c r="C59" s="235"/>
      <c r="D59" s="235"/>
    </row>
    <row r="60" spans="1:4">
      <c r="A60" s="235"/>
      <c r="B60" s="236"/>
      <c r="C60" s="235"/>
      <c r="D60" s="235"/>
    </row>
    <row r="61" spans="1:4">
      <c r="A61" s="235"/>
      <c r="B61" s="236"/>
      <c r="C61" s="235"/>
      <c r="D61" s="235"/>
    </row>
    <row r="62" spans="1:4">
      <c r="A62" s="235"/>
      <c r="B62" s="236"/>
      <c r="C62" s="235"/>
      <c r="D62" s="235"/>
    </row>
    <row r="63" spans="1:4">
      <c r="A63" s="235"/>
      <c r="B63" s="236"/>
      <c r="C63" s="235"/>
      <c r="D63" s="235"/>
    </row>
    <row r="64" spans="1:4">
      <c r="A64" s="235"/>
      <c r="B64" s="236"/>
      <c r="C64" s="235"/>
      <c r="D64" s="235"/>
    </row>
    <row r="65" spans="1:4">
      <c r="A65" s="235"/>
      <c r="B65" s="236"/>
      <c r="C65" s="235"/>
      <c r="D65" s="235"/>
    </row>
    <row r="66" spans="1:4">
      <c r="A66" s="235"/>
      <c r="B66" s="236"/>
      <c r="C66" s="235"/>
      <c r="D66" s="235"/>
    </row>
    <row r="67" spans="1:4">
      <c r="A67" s="235"/>
      <c r="B67" s="236"/>
      <c r="C67" s="235"/>
      <c r="D67" s="235"/>
    </row>
    <row r="68" spans="1:4">
      <c r="A68" s="235"/>
      <c r="B68" s="236"/>
      <c r="C68" s="235"/>
      <c r="D68" s="235"/>
    </row>
    <row r="69" spans="1:4">
      <c r="A69" s="235"/>
      <c r="B69" s="236"/>
      <c r="C69" s="235"/>
      <c r="D69" s="235"/>
    </row>
    <row r="70" spans="1:4">
      <c r="A70" s="235"/>
      <c r="B70" s="236"/>
      <c r="C70" s="235"/>
      <c r="D70" s="235"/>
    </row>
    <row r="71" spans="1:4">
      <c r="A71" s="235"/>
      <c r="B71" s="236"/>
      <c r="C71" s="235"/>
      <c r="D71" s="235"/>
    </row>
    <row r="72" spans="1:4">
      <c r="A72" s="235"/>
      <c r="B72" s="236"/>
      <c r="C72" s="235"/>
      <c r="D72" s="235"/>
    </row>
    <row r="73" spans="1:4">
      <c r="A73" s="235"/>
      <c r="B73" s="236"/>
      <c r="C73" s="235"/>
      <c r="D73" s="235"/>
    </row>
    <row r="74" spans="1:4">
      <c r="A74" s="235"/>
      <c r="B74" s="236"/>
      <c r="C74" s="235"/>
      <c r="D74" s="235"/>
    </row>
    <row r="75" spans="1:4">
      <c r="A75" s="235"/>
      <c r="B75" s="236"/>
      <c r="C75" s="235"/>
      <c r="D75" s="235"/>
    </row>
    <row r="76" spans="1:4">
      <c r="A76" s="235"/>
      <c r="B76" s="236"/>
      <c r="C76" s="235"/>
      <c r="D76" s="235"/>
    </row>
    <row r="77" spans="1:4">
      <c r="A77" s="235"/>
      <c r="B77" s="236"/>
      <c r="C77" s="235"/>
      <c r="D77" s="235"/>
    </row>
    <row r="78" spans="1:4">
      <c r="A78" s="235"/>
      <c r="B78" s="236"/>
      <c r="C78" s="235"/>
      <c r="D78" s="235"/>
    </row>
    <row r="79" spans="1:4">
      <c r="A79" s="235"/>
      <c r="B79" s="236"/>
      <c r="C79" s="235"/>
      <c r="D79" s="235"/>
    </row>
    <row r="80" spans="1:4">
      <c r="A80" s="235"/>
      <c r="B80" s="236"/>
      <c r="C80" s="235"/>
      <c r="D80" s="235"/>
    </row>
    <row r="81" spans="1:4">
      <c r="A81" s="235"/>
      <c r="B81" s="236"/>
      <c r="C81" s="235"/>
      <c r="D81" s="235"/>
    </row>
    <row r="82" spans="1:4">
      <c r="A82" s="235"/>
      <c r="B82" s="236"/>
      <c r="C82" s="235"/>
      <c r="D82" s="235"/>
    </row>
    <row r="83" spans="1:4">
      <c r="A83" s="235"/>
      <c r="B83" s="236"/>
      <c r="C83" s="235"/>
      <c r="D83" s="235"/>
    </row>
    <row r="84" spans="1:4">
      <c r="A84" s="235"/>
      <c r="B84" s="236"/>
      <c r="C84" s="235"/>
      <c r="D84" s="235"/>
    </row>
    <row r="85" spans="1:4">
      <c r="A85" s="235"/>
      <c r="B85" s="236"/>
      <c r="C85" s="235"/>
      <c r="D85" s="235"/>
    </row>
    <row r="86" spans="1:4">
      <c r="A86" s="235"/>
      <c r="B86" s="236"/>
      <c r="C86" s="235"/>
      <c r="D86" s="235"/>
    </row>
    <row r="87" spans="1:4">
      <c r="A87" s="235"/>
      <c r="B87" s="236"/>
      <c r="C87" s="235"/>
      <c r="D87" s="235"/>
    </row>
    <row r="88" spans="1:4">
      <c r="A88" s="235"/>
      <c r="B88" s="236"/>
      <c r="C88" s="235"/>
      <c r="D88" s="235"/>
    </row>
    <row r="89" spans="1:4">
      <c r="A89" s="235"/>
      <c r="B89" s="236"/>
      <c r="C89" s="235"/>
      <c r="D89" s="235"/>
    </row>
    <row r="90" spans="1:4">
      <c r="A90" s="235"/>
      <c r="B90" s="236"/>
      <c r="C90" s="235"/>
      <c r="D90" s="235"/>
    </row>
    <row r="91" spans="1:4">
      <c r="A91" s="235"/>
      <c r="B91" s="236"/>
      <c r="C91" s="235"/>
      <c r="D91" s="235"/>
    </row>
    <row r="92" spans="1:4">
      <c r="A92" s="235"/>
      <c r="B92" s="236"/>
      <c r="C92" s="235"/>
      <c r="D92" s="235"/>
    </row>
    <row r="93" spans="1:4">
      <c r="A93" s="235"/>
      <c r="B93" s="236"/>
      <c r="C93" s="235"/>
      <c r="D93" s="235"/>
    </row>
    <row r="94" spans="1:4">
      <c r="A94" s="235"/>
      <c r="B94" s="236"/>
      <c r="C94" s="235"/>
      <c r="D94" s="235"/>
    </row>
    <row r="95" spans="1:4">
      <c r="A95" s="235"/>
      <c r="B95" s="236"/>
      <c r="C95" s="235"/>
      <c r="D95" s="235"/>
    </row>
    <row r="96" spans="1:4">
      <c r="A96" s="235"/>
      <c r="B96" s="236"/>
      <c r="C96" s="235"/>
      <c r="D96" s="235"/>
    </row>
    <row r="97" spans="1:4">
      <c r="A97" s="235"/>
      <c r="B97" s="236"/>
      <c r="C97" s="235"/>
      <c r="D97" s="235"/>
    </row>
    <row r="98" spans="1:4">
      <c r="A98" s="235"/>
      <c r="B98" s="236"/>
      <c r="C98" s="235"/>
      <c r="D98" s="235"/>
    </row>
    <row r="99" spans="1:4">
      <c r="A99" s="235"/>
      <c r="B99" s="236"/>
      <c r="C99" s="235"/>
      <c r="D99" s="235"/>
    </row>
    <row r="100" spans="1:4">
      <c r="A100" s="235"/>
      <c r="B100" s="236"/>
      <c r="C100" s="235"/>
      <c r="D100" s="235"/>
    </row>
    <row r="101" spans="1:4">
      <c r="A101" s="235"/>
      <c r="B101" s="236"/>
      <c r="C101" s="235"/>
      <c r="D101" s="235"/>
    </row>
    <row r="102" spans="1:4">
      <c r="A102" s="235"/>
      <c r="B102" s="236"/>
      <c r="C102" s="235"/>
      <c r="D102" s="235"/>
    </row>
    <row r="103" spans="1:4">
      <c r="A103" s="235"/>
      <c r="B103" s="236"/>
      <c r="C103" s="235"/>
      <c r="D103" s="235"/>
    </row>
    <row r="104" spans="1:4">
      <c r="A104" s="235"/>
      <c r="B104" s="236"/>
      <c r="C104" s="235"/>
      <c r="D104" s="235"/>
    </row>
    <row r="105" spans="1:4">
      <c r="A105" s="235"/>
      <c r="B105" s="236"/>
      <c r="C105" s="235"/>
      <c r="D105" s="235"/>
    </row>
    <row r="106" spans="1:4">
      <c r="A106" s="235"/>
      <c r="B106" s="236"/>
      <c r="C106" s="235"/>
      <c r="D106" s="235"/>
    </row>
    <row r="107" spans="1:4">
      <c r="A107" s="235"/>
      <c r="B107" s="236"/>
      <c r="C107" s="235"/>
      <c r="D107" s="235"/>
    </row>
    <row r="108" spans="1:4">
      <c r="A108" s="235"/>
      <c r="B108" s="236"/>
      <c r="C108" s="235"/>
      <c r="D108" s="235"/>
    </row>
    <row r="109" spans="1:4">
      <c r="A109" s="235"/>
      <c r="B109" s="236"/>
      <c r="C109" s="235"/>
      <c r="D109" s="235"/>
    </row>
    <row r="110" spans="1:4">
      <c r="A110" s="235"/>
      <c r="B110" s="236"/>
      <c r="C110" s="235"/>
      <c r="D110" s="235"/>
    </row>
    <row r="111" spans="1:4">
      <c r="A111" s="235"/>
      <c r="B111" s="236"/>
      <c r="C111" s="235"/>
      <c r="D111" s="235"/>
    </row>
    <row r="112" spans="1:4">
      <c r="A112" s="235"/>
      <c r="B112" s="236"/>
      <c r="C112" s="235"/>
      <c r="D112" s="235"/>
    </row>
    <row r="113" spans="1:4">
      <c r="A113" s="235"/>
      <c r="B113" s="236"/>
      <c r="C113" s="235"/>
      <c r="D113" s="235"/>
    </row>
    <row r="114" spans="1:4">
      <c r="A114" s="235"/>
      <c r="B114" s="236"/>
      <c r="C114" s="235"/>
      <c r="D114" s="235"/>
    </row>
    <row r="115" spans="1:4">
      <c r="A115" s="235"/>
      <c r="B115" s="236"/>
      <c r="C115" s="235"/>
      <c r="D115" s="235"/>
    </row>
    <row r="116" spans="1:4">
      <c r="A116" s="235"/>
      <c r="B116" s="236"/>
      <c r="C116" s="235"/>
      <c r="D116" s="235"/>
    </row>
    <row r="117" spans="1:4">
      <c r="A117" s="235"/>
      <c r="B117" s="236"/>
      <c r="C117" s="235"/>
      <c r="D117" s="235"/>
    </row>
    <row r="118" spans="1:4">
      <c r="A118" s="235"/>
      <c r="B118" s="236"/>
      <c r="C118" s="235"/>
      <c r="D118" s="235"/>
    </row>
    <row r="119" spans="1:4">
      <c r="A119" s="235"/>
      <c r="B119" s="236"/>
      <c r="C119" s="235"/>
      <c r="D119" s="235"/>
    </row>
    <row r="120" spans="1:4">
      <c r="A120" s="235"/>
      <c r="B120" s="236"/>
      <c r="C120" s="235"/>
      <c r="D120" s="235"/>
    </row>
    <row r="121" spans="1:4">
      <c r="A121" s="235"/>
      <c r="B121" s="236"/>
      <c r="C121" s="235"/>
      <c r="D121" s="235"/>
    </row>
    <row r="122" spans="1:4">
      <c r="A122" s="235"/>
      <c r="B122" s="236"/>
      <c r="C122" s="235"/>
      <c r="D122" s="235"/>
    </row>
    <row r="123" spans="1:4">
      <c r="A123" s="235"/>
      <c r="B123" s="236"/>
      <c r="C123" s="235"/>
      <c r="D123" s="235"/>
    </row>
    <row r="124" spans="1:4">
      <c r="A124" s="235"/>
      <c r="B124" s="236"/>
      <c r="C124" s="235"/>
      <c r="D124" s="235"/>
    </row>
    <row r="125" spans="1:4">
      <c r="A125" s="235"/>
      <c r="B125" s="236"/>
      <c r="C125" s="235"/>
      <c r="D125" s="235"/>
    </row>
    <row r="126" spans="1:4">
      <c r="A126" s="235"/>
      <c r="B126" s="236"/>
      <c r="C126" s="235"/>
      <c r="D126" s="235"/>
    </row>
    <row r="127" spans="1:4">
      <c r="A127" s="235"/>
      <c r="B127" s="236"/>
      <c r="C127" s="235"/>
      <c r="D127" s="235"/>
    </row>
    <row r="128" spans="1:4">
      <c r="A128" s="235"/>
      <c r="B128" s="236"/>
      <c r="C128" s="235"/>
      <c r="D128" s="235"/>
    </row>
    <row r="129" spans="1:4">
      <c r="A129" s="235"/>
      <c r="B129" s="236"/>
      <c r="C129" s="235"/>
      <c r="D129" s="235"/>
    </row>
    <row r="130" spans="1:4">
      <c r="A130" s="235"/>
      <c r="B130" s="236"/>
      <c r="C130" s="235"/>
      <c r="D130" s="235"/>
    </row>
    <row r="131" spans="1:4">
      <c r="A131" s="235"/>
      <c r="B131" s="236"/>
      <c r="C131" s="235"/>
      <c r="D131" s="235"/>
    </row>
    <row r="132" spans="1:4">
      <c r="A132" s="235"/>
      <c r="B132" s="236"/>
      <c r="C132" s="235"/>
      <c r="D132" s="235"/>
    </row>
    <row r="133" spans="1:4">
      <c r="A133" s="235"/>
      <c r="B133" s="236"/>
      <c r="C133" s="235"/>
      <c r="D133" s="235"/>
    </row>
    <row r="134" spans="1:4">
      <c r="A134" s="235"/>
      <c r="B134" s="236"/>
      <c r="C134" s="235"/>
      <c r="D134" s="235"/>
    </row>
    <row r="135" spans="1:4">
      <c r="A135" s="235"/>
      <c r="B135" s="236"/>
      <c r="C135" s="235"/>
      <c r="D135" s="235"/>
    </row>
    <row r="136" spans="1:4">
      <c r="A136" s="235"/>
      <c r="B136" s="236"/>
      <c r="C136" s="235"/>
      <c r="D136" s="235"/>
    </row>
    <row r="137" spans="1:4">
      <c r="A137" s="235"/>
      <c r="B137" s="236"/>
      <c r="C137" s="235"/>
      <c r="D137" s="235"/>
    </row>
    <row r="138" spans="1:4">
      <c r="A138" s="235"/>
      <c r="B138" s="236"/>
      <c r="C138" s="235"/>
      <c r="D138" s="235"/>
    </row>
    <row r="139" spans="1:4">
      <c r="A139" s="235"/>
      <c r="B139" s="236"/>
      <c r="C139" s="235"/>
      <c r="D139" s="235"/>
    </row>
    <row r="140" spans="1:4">
      <c r="A140" s="235"/>
      <c r="B140" s="236"/>
      <c r="C140" s="235"/>
      <c r="D140" s="235"/>
    </row>
    <row r="141" spans="1:4">
      <c r="A141" s="235"/>
      <c r="B141" s="236"/>
      <c r="C141" s="235"/>
      <c r="D141" s="235"/>
    </row>
    <row r="142" spans="1:4">
      <c r="A142" s="235"/>
      <c r="B142" s="236"/>
      <c r="C142" s="235"/>
      <c r="D142" s="235"/>
    </row>
    <row r="143" spans="1:4">
      <c r="A143" s="235"/>
      <c r="B143" s="236"/>
      <c r="C143" s="235"/>
      <c r="D143" s="235"/>
    </row>
    <row r="144" spans="1:4">
      <c r="A144" s="235"/>
      <c r="B144" s="236"/>
      <c r="C144" s="235"/>
      <c r="D144" s="235"/>
    </row>
    <row r="145" spans="1:4">
      <c r="A145" s="235"/>
      <c r="B145" s="236"/>
      <c r="C145" s="235"/>
      <c r="D145" s="235"/>
    </row>
    <row r="146" spans="1:4">
      <c r="A146" s="235"/>
      <c r="B146" s="236"/>
      <c r="C146" s="235"/>
      <c r="D146" s="235"/>
    </row>
    <row r="147" spans="1:4">
      <c r="A147" s="235"/>
      <c r="B147" s="236"/>
      <c r="C147" s="235"/>
      <c r="D147" s="235"/>
    </row>
    <row r="148" spans="1:4">
      <c r="A148" s="235"/>
      <c r="B148" s="236"/>
      <c r="C148" s="235"/>
      <c r="D148" s="235"/>
    </row>
    <row r="149" spans="1:4">
      <c r="A149" s="235"/>
      <c r="B149" s="236"/>
      <c r="C149" s="235"/>
      <c r="D149" s="235"/>
    </row>
    <row r="150" spans="1:4">
      <c r="A150" s="235"/>
      <c r="B150" s="236"/>
      <c r="C150" s="235"/>
      <c r="D150" s="235"/>
    </row>
    <row r="151" spans="1:4">
      <c r="A151" s="235"/>
      <c r="B151" s="236"/>
      <c r="C151" s="235"/>
      <c r="D151" s="235"/>
    </row>
    <row r="152" spans="1:4">
      <c r="A152" s="235"/>
      <c r="B152" s="236"/>
      <c r="C152" s="235"/>
      <c r="D152" s="235"/>
    </row>
    <row r="153" spans="1:4">
      <c r="A153" s="235"/>
      <c r="B153" s="236"/>
      <c r="C153" s="235"/>
      <c r="D153" s="235"/>
    </row>
    <row r="154" spans="1:4">
      <c r="A154" s="235"/>
      <c r="B154" s="236"/>
      <c r="C154" s="235"/>
      <c r="D154" s="235"/>
    </row>
    <row r="155" spans="1:4">
      <c r="A155" s="235"/>
      <c r="B155" s="236"/>
      <c r="C155" s="235"/>
      <c r="D155" s="235"/>
    </row>
    <row r="156" spans="1:4">
      <c r="A156" s="235"/>
      <c r="B156" s="236"/>
      <c r="C156" s="235"/>
      <c r="D156" s="235"/>
    </row>
    <row r="157" spans="1:4">
      <c r="A157" s="235"/>
      <c r="B157" s="236"/>
      <c r="C157" s="235"/>
      <c r="D157" s="235"/>
    </row>
    <row r="158" spans="1:4">
      <c r="A158" s="235"/>
      <c r="B158" s="236"/>
      <c r="C158" s="235"/>
      <c r="D158" s="235"/>
    </row>
    <row r="159" spans="1:4">
      <c r="A159" s="235"/>
      <c r="B159" s="236"/>
      <c r="C159" s="235"/>
      <c r="D159" s="235"/>
    </row>
    <row r="160" spans="1:4">
      <c r="A160" s="235"/>
      <c r="B160" s="236"/>
      <c r="C160" s="235"/>
      <c r="D160" s="235"/>
    </row>
    <row r="161" spans="1:4">
      <c r="A161" s="235"/>
      <c r="B161" s="236"/>
      <c r="C161" s="235"/>
      <c r="D161" s="235"/>
    </row>
    <row r="162" spans="1:4">
      <c r="A162" s="235"/>
      <c r="B162" s="236"/>
      <c r="C162" s="235"/>
      <c r="D162" s="235"/>
    </row>
    <row r="163" spans="1:4">
      <c r="A163" s="235"/>
      <c r="B163" s="236"/>
      <c r="C163" s="235"/>
      <c r="D163" s="235"/>
    </row>
    <row r="164" spans="1:4">
      <c r="A164" s="235"/>
      <c r="B164" s="236"/>
      <c r="C164" s="235"/>
      <c r="D164" s="235"/>
    </row>
    <row r="165" spans="1:4">
      <c r="A165" s="235"/>
      <c r="B165" s="236"/>
      <c r="C165" s="235"/>
      <c r="D165" s="235"/>
    </row>
    <row r="166" spans="1:4">
      <c r="A166" s="235"/>
      <c r="B166" s="236"/>
      <c r="C166" s="235"/>
      <c r="D166" s="235"/>
    </row>
    <row r="167" spans="1:4">
      <c r="A167" s="235"/>
      <c r="B167" s="236"/>
      <c r="C167" s="235"/>
      <c r="D167" s="235"/>
    </row>
    <row r="168" spans="1:4">
      <c r="A168" s="235"/>
      <c r="B168" s="236"/>
      <c r="C168" s="235"/>
      <c r="D168" s="235"/>
    </row>
    <row r="169" spans="1:4">
      <c r="A169" s="235"/>
      <c r="B169" s="236"/>
      <c r="C169" s="235"/>
      <c r="D169" s="235"/>
    </row>
    <row r="170" spans="1:4">
      <c r="A170" s="235"/>
      <c r="B170" s="236"/>
      <c r="C170" s="235"/>
      <c r="D170" s="235"/>
    </row>
    <row r="171" spans="1:4">
      <c r="A171" s="235"/>
      <c r="B171" s="236"/>
      <c r="C171" s="235"/>
      <c r="D171" s="235"/>
    </row>
    <row r="172" spans="1:4">
      <c r="A172" s="235"/>
      <c r="B172" s="236"/>
      <c r="C172" s="235"/>
      <c r="D172" s="235"/>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7"/>
  <sheetViews>
    <sheetView topLeftCell="E1" zoomScaleNormal="100" workbookViewId="0">
      <selection activeCell="I2" sqref="I2:J27"/>
    </sheetView>
  </sheetViews>
  <sheetFormatPr defaultColWidth="12.140625" defaultRowHeight="12.75" customHeight="1"/>
  <cols>
    <col min="1" max="1" width="5.5703125" style="124" customWidth="1"/>
    <col min="2" max="2" width="14.42578125" style="124" bestFit="1" customWidth="1"/>
    <col min="3" max="3" width="12.140625" style="124" customWidth="1"/>
    <col min="4" max="4" width="17.28515625" style="124" customWidth="1"/>
    <col min="5" max="5" width="50" style="124" customWidth="1"/>
    <col min="6" max="6" width="18" style="124" customWidth="1"/>
    <col min="7" max="7" width="12.140625" style="124" customWidth="1"/>
    <col min="8" max="8" width="43.42578125" style="124" customWidth="1"/>
    <col min="9" max="9" width="21.42578125" style="125" customWidth="1"/>
    <col min="10" max="10" width="30.5703125" style="123" customWidth="1"/>
    <col min="11" max="17" width="12.140625" style="124" customWidth="1"/>
    <col min="18" max="16384" width="12.140625" style="124"/>
  </cols>
  <sheetData>
    <row r="1" spans="1:10" s="123" customFormat="1" ht="12.75" customHeight="1">
      <c r="A1" s="135" t="s">
        <v>37</v>
      </c>
      <c r="B1" s="135" t="s">
        <v>38</v>
      </c>
      <c r="C1" s="135" t="s">
        <v>39</v>
      </c>
      <c r="D1" s="135" t="s">
        <v>40</v>
      </c>
      <c r="E1" s="135" t="s">
        <v>41</v>
      </c>
      <c r="F1" s="135" t="s">
        <v>42</v>
      </c>
      <c r="G1" s="135" t="s">
        <v>43</v>
      </c>
      <c r="H1" s="136" t="s">
        <v>44</v>
      </c>
      <c r="I1" s="138" t="s">
        <v>45</v>
      </c>
      <c r="J1" s="135" t="s">
        <v>46</v>
      </c>
    </row>
    <row r="2" spans="1:10" ht="12.75" customHeight="1">
      <c r="A2" s="126" t="s">
        <v>47</v>
      </c>
      <c r="B2" s="126" t="s">
        <v>48</v>
      </c>
      <c r="C2" s="126" t="s">
        <v>49</v>
      </c>
      <c r="D2" s="126" t="s">
        <v>50</v>
      </c>
      <c r="E2" s="126" t="s">
        <v>51</v>
      </c>
      <c r="F2" s="70" t="s">
        <v>52</v>
      </c>
      <c r="G2" s="70" t="s">
        <v>53</v>
      </c>
      <c r="H2" s="70" t="s">
        <v>54</v>
      </c>
      <c r="I2" s="129"/>
      <c r="J2" s="70"/>
    </row>
    <row r="3" spans="1:10" ht="12.75" customHeight="1">
      <c r="A3" s="126" t="s">
        <v>55</v>
      </c>
      <c r="B3" s="126" t="s">
        <v>48</v>
      </c>
      <c r="C3" s="126" t="s">
        <v>49</v>
      </c>
      <c r="D3" s="126" t="s">
        <v>50</v>
      </c>
      <c r="E3" s="126" t="s">
        <v>56</v>
      </c>
      <c r="F3" s="70" t="s">
        <v>57</v>
      </c>
      <c r="G3" s="70" t="s">
        <v>58</v>
      </c>
      <c r="H3" s="70" t="s">
        <v>59</v>
      </c>
      <c r="I3" s="69"/>
      <c r="J3" s="70"/>
    </row>
    <row r="4" spans="1:10" ht="12.75" customHeight="1">
      <c r="A4" s="126" t="s">
        <v>60</v>
      </c>
      <c r="B4" s="126" t="s">
        <v>48</v>
      </c>
      <c r="C4" s="126" t="s">
        <v>49</v>
      </c>
      <c r="D4" s="126" t="s">
        <v>50</v>
      </c>
      <c r="E4" s="126" t="s">
        <v>61</v>
      </c>
      <c r="F4" s="70" t="s">
        <v>62</v>
      </c>
      <c r="G4" s="70" t="s">
        <v>63</v>
      </c>
      <c r="H4" s="70" t="s">
        <v>64</v>
      </c>
      <c r="I4" s="69"/>
      <c r="J4" s="70"/>
    </row>
    <row r="5" spans="1:10" ht="12.75" customHeight="1">
      <c r="A5" s="126" t="s">
        <v>65</v>
      </c>
      <c r="B5" s="126" t="s">
        <v>48</v>
      </c>
      <c r="C5" s="126" t="s">
        <v>49</v>
      </c>
      <c r="D5" s="126" t="s">
        <v>50</v>
      </c>
      <c r="E5" s="126" t="s">
        <v>66</v>
      </c>
      <c r="F5" s="70" t="s">
        <v>67</v>
      </c>
      <c r="G5" s="70" t="s">
        <v>68</v>
      </c>
      <c r="H5" s="70" t="s">
        <v>69</v>
      </c>
      <c r="I5" s="69"/>
      <c r="J5" s="70"/>
    </row>
    <row r="6" spans="1:10" ht="12.75" customHeight="1">
      <c r="A6" s="126" t="s">
        <v>70</v>
      </c>
      <c r="B6" s="126" t="s">
        <v>48</v>
      </c>
      <c r="C6" s="126" t="s">
        <v>49</v>
      </c>
      <c r="D6" s="126" t="s">
        <v>50</v>
      </c>
      <c r="E6" s="126" t="s">
        <v>71</v>
      </c>
      <c r="F6" s="70" t="s">
        <v>72</v>
      </c>
      <c r="G6" s="70" t="s">
        <v>68</v>
      </c>
      <c r="H6" s="70" t="s">
        <v>73</v>
      </c>
      <c r="I6" s="69"/>
      <c r="J6" s="70"/>
    </row>
    <row r="7" spans="1:10" ht="12.75" customHeight="1">
      <c r="A7" s="126" t="s">
        <v>74</v>
      </c>
      <c r="B7" s="126" t="s">
        <v>48</v>
      </c>
      <c r="C7" s="126" t="s">
        <v>49</v>
      </c>
      <c r="D7" s="126" t="s">
        <v>50</v>
      </c>
      <c r="E7" s="126" t="s">
        <v>75</v>
      </c>
      <c r="F7" s="70" t="s">
        <v>76</v>
      </c>
      <c r="G7" s="70" t="s">
        <v>77</v>
      </c>
      <c r="H7" s="70" t="s">
        <v>78</v>
      </c>
      <c r="I7" s="69"/>
      <c r="J7" s="70"/>
    </row>
    <row r="8" spans="1:10" ht="12.75" customHeight="1">
      <c r="A8" s="126" t="s">
        <v>79</v>
      </c>
      <c r="B8" s="126" t="s">
        <v>48</v>
      </c>
      <c r="C8" s="126" t="s">
        <v>49</v>
      </c>
      <c r="D8" s="126" t="s">
        <v>50</v>
      </c>
      <c r="E8" s="126" t="s">
        <v>80</v>
      </c>
      <c r="F8" s="70" t="s">
        <v>81</v>
      </c>
      <c r="G8" s="70" t="s">
        <v>82</v>
      </c>
      <c r="H8" s="70" t="s">
        <v>83</v>
      </c>
      <c r="I8" s="69"/>
      <c r="J8" s="70"/>
    </row>
    <row r="9" spans="1:10" ht="12.75" customHeight="1">
      <c r="A9" s="126" t="s">
        <v>84</v>
      </c>
      <c r="B9" s="70" t="s">
        <v>48</v>
      </c>
      <c r="C9" s="70" t="s">
        <v>49</v>
      </c>
      <c r="D9" s="70" t="s">
        <v>85</v>
      </c>
      <c r="E9" s="70" t="s">
        <v>86</v>
      </c>
      <c r="F9" s="70" t="s">
        <v>87</v>
      </c>
      <c r="G9" s="70" t="s">
        <v>88</v>
      </c>
      <c r="H9" s="70"/>
      <c r="I9" s="69"/>
      <c r="J9" s="69"/>
    </row>
    <row r="10" spans="1:10" ht="12.75" customHeight="1">
      <c r="A10" s="126" t="s">
        <v>89</v>
      </c>
      <c r="B10" s="126" t="s">
        <v>48</v>
      </c>
      <c r="C10" s="126" t="s">
        <v>49</v>
      </c>
      <c r="D10" s="126" t="s">
        <v>50</v>
      </c>
      <c r="E10" s="126" t="s">
        <v>90</v>
      </c>
      <c r="F10" s="70" t="s">
        <v>91</v>
      </c>
      <c r="G10" s="70" t="s">
        <v>92</v>
      </c>
      <c r="H10" s="70" t="s">
        <v>93</v>
      </c>
      <c r="I10" s="69"/>
      <c r="J10" s="70"/>
    </row>
    <row r="11" spans="1:10" ht="12.75" customHeight="1">
      <c r="A11" s="126" t="s">
        <v>94</v>
      </c>
      <c r="B11" s="70" t="s">
        <v>48</v>
      </c>
      <c r="C11" s="70" t="s">
        <v>49</v>
      </c>
      <c r="D11" s="70" t="s">
        <v>95</v>
      </c>
      <c r="E11" s="70" t="s">
        <v>96</v>
      </c>
      <c r="F11" s="70" t="s">
        <v>97</v>
      </c>
      <c r="G11" s="70" t="s">
        <v>98</v>
      </c>
      <c r="H11" s="70"/>
      <c r="I11" s="69"/>
      <c r="J11" s="69"/>
    </row>
    <row r="12" spans="1:10" ht="12.75" customHeight="1">
      <c r="A12" s="126" t="s">
        <v>99</v>
      </c>
      <c r="B12" s="70" t="s">
        <v>48</v>
      </c>
      <c r="C12" s="70" t="s">
        <v>49</v>
      </c>
      <c r="D12" s="70" t="s">
        <v>95</v>
      </c>
      <c r="E12" s="70" t="s">
        <v>100</v>
      </c>
      <c r="F12" s="70" t="s">
        <v>101</v>
      </c>
      <c r="G12" s="70" t="s">
        <v>102</v>
      </c>
      <c r="H12" s="70"/>
      <c r="I12" s="69"/>
      <c r="J12" s="69"/>
    </row>
    <row r="13" spans="1:10" ht="12.75" customHeight="1">
      <c r="A13" s="126" t="s">
        <v>103</v>
      </c>
      <c r="B13" s="126" t="s">
        <v>48</v>
      </c>
      <c r="C13" s="126" t="s">
        <v>49</v>
      </c>
      <c r="D13" s="126" t="s">
        <v>95</v>
      </c>
      <c r="E13" s="126" t="s">
        <v>104</v>
      </c>
      <c r="F13" s="70" t="s">
        <v>105</v>
      </c>
      <c r="G13" s="70" t="s">
        <v>106</v>
      </c>
      <c r="H13" s="70" t="s">
        <v>107</v>
      </c>
      <c r="I13" s="129"/>
      <c r="J13" s="69"/>
    </row>
    <row r="14" spans="1:10" ht="12.75" customHeight="1">
      <c r="A14" s="126" t="s">
        <v>108</v>
      </c>
      <c r="B14" s="70" t="s">
        <v>48</v>
      </c>
      <c r="C14" s="70" t="s">
        <v>49</v>
      </c>
      <c r="D14" s="70" t="s">
        <v>95</v>
      </c>
      <c r="E14" s="70" t="s">
        <v>109</v>
      </c>
      <c r="F14" s="70" t="s">
        <v>110</v>
      </c>
      <c r="G14" s="70" t="s">
        <v>111</v>
      </c>
      <c r="H14" s="70"/>
      <c r="I14" s="69"/>
      <c r="J14" s="69"/>
    </row>
    <row r="15" spans="1:10" ht="12.75" customHeight="1">
      <c r="A15" s="126" t="s">
        <v>112</v>
      </c>
      <c r="B15" s="126" t="s">
        <v>48</v>
      </c>
      <c r="C15" s="127" t="s">
        <v>113</v>
      </c>
      <c r="D15" s="127" t="s">
        <v>113</v>
      </c>
      <c r="E15" s="127" t="s">
        <v>114</v>
      </c>
      <c r="F15" s="128" t="s">
        <v>115</v>
      </c>
      <c r="G15" s="71" t="s">
        <v>116</v>
      </c>
      <c r="H15" s="70" t="s">
        <v>117</v>
      </c>
      <c r="I15" s="130"/>
      <c r="J15" s="71"/>
    </row>
    <row r="16" spans="1:10" ht="12.75" customHeight="1">
      <c r="A16" s="126" t="s">
        <v>118</v>
      </c>
      <c r="B16" s="70" t="s">
        <v>48</v>
      </c>
      <c r="C16" s="127" t="s">
        <v>113</v>
      </c>
      <c r="D16" s="127" t="s">
        <v>119</v>
      </c>
      <c r="E16" s="71" t="s">
        <v>120</v>
      </c>
      <c r="F16" s="71" t="s">
        <v>121</v>
      </c>
      <c r="G16" s="71" t="s">
        <v>122</v>
      </c>
      <c r="H16" s="70" t="s">
        <v>123</v>
      </c>
      <c r="I16" s="130"/>
      <c r="J16" s="72"/>
    </row>
    <row r="17" spans="1:10" ht="12.75" customHeight="1">
      <c r="A17" s="126" t="s">
        <v>124</v>
      </c>
      <c r="B17" s="126" t="s">
        <v>48</v>
      </c>
      <c r="C17" s="127" t="s">
        <v>113</v>
      </c>
      <c r="D17" s="127" t="s">
        <v>119</v>
      </c>
      <c r="E17" s="127" t="s">
        <v>125</v>
      </c>
      <c r="F17" s="71" t="s">
        <v>126</v>
      </c>
      <c r="G17" s="71" t="s">
        <v>127</v>
      </c>
      <c r="H17" s="70" t="s">
        <v>128</v>
      </c>
      <c r="I17" s="130"/>
      <c r="J17" s="71"/>
    </row>
    <row r="18" spans="1:10" ht="12.75" customHeight="1">
      <c r="A18" s="126" t="s">
        <v>129</v>
      </c>
      <c r="B18" s="70" t="s">
        <v>48</v>
      </c>
      <c r="C18" s="127" t="s">
        <v>113</v>
      </c>
      <c r="D18" s="127" t="s">
        <v>119</v>
      </c>
      <c r="E18" s="71" t="s">
        <v>130</v>
      </c>
      <c r="F18" s="71" t="s">
        <v>131</v>
      </c>
      <c r="G18" s="71" t="s">
        <v>122</v>
      </c>
      <c r="H18" s="71" t="s">
        <v>132</v>
      </c>
      <c r="I18" s="69"/>
      <c r="J18" s="128"/>
    </row>
    <row r="19" spans="1:10" ht="12.75" customHeight="1">
      <c r="A19" s="126" t="s">
        <v>133</v>
      </c>
      <c r="B19" s="126" t="s">
        <v>48</v>
      </c>
      <c r="C19" s="127" t="s">
        <v>113</v>
      </c>
      <c r="D19" s="127" t="s">
        <v>119</v>
      </c>
      <c r="E19" s="127" t="s">
        <v>134</v>
      </c>
      <c r="F19" s="71" t="s">
        <v>135</v>
      </c>
      <c r="G19" s="71" t="s">
        <v>127</v>
      </c>
      <c r="H19" s="70" t="s">
        <v>136</v>
      </c>
      <c r="I19" s="130"/>
      <c r="J19" s="71"/>
    </row>
    <row r="20" spans="1:10" ht="12.75" customHeight="1">
      <c r="A20" s="126" t="s">
        <v>137</v>
      </c>
      <c r="B20" s="126" t="s">
        <v>48</v>
      </c>
      <c r="C20" s="127" t="s">
        <v>113</v>
      </c>
      <c r="D20" s="127" t="s">
        <v>119</v>
      </c>
      <c r="E20" s="127" t="s">
        <v>138</v>
      </c>
      <c r="F20" s="71" t="s">
        <v>139</v>
      </c>
      <c r="G20" s="71" t="s">
        <v>140</v>
      </c>
      <c r="H20" s="70" t="s">
        <v>141</v>
      </c>
      <c r="I20" s="130"/>
      <c r="J20" s="71"/>
    </row>
    <row r="21" spans="1:10" ht="12.75" customHeight="1">
      <c r="A21" s="126" t="s">
        <v>142</v>
      </c>
      <c r="B21" s="70" t="s">
        <v>48</v>
      </c>
      <c r="C21" s="127" t="s">
        <v>113</v>
      </c>
      <c r="D21" s="127" t="s">
        <v>119</v>
      </c>
      <c r="E21" s="71" t="s">
        <v>143</v>
      </c>
      <c r="F21" s="71" t="s">
        <v>144</v>
      </c>
      <c r="G21" s="71" t="s">
        <v>145</v>
      </c>
      <c r="H21" s="71"/>
      <c r="I21" s="72"/>
      <c r="J21" s="72"/>
    </row>
    <row r="22" spans="1:10" ht="12.75" customHeight="1">
      <c r="A22" s="126" t="s">
        <v>146</v>
      </c>
      <c r="B22" s="126" t="s">
        <v>48</v>
      </c>
      <c r="C22" s="127" t="s">
        <v>113</v>
      </c>
      <c r="D22" s="127" t="s">
        <v>119</v>
      </c>
      <c r="E22" s="127" t="s">
        <v>147</v>
      </c>
      <c r="F22" s="71" t="s">
        <v>148</v>
      </c>
      <c r="G22" s="128" t="s">
        <v>149</v>
      </c>
      <c r="H22" s="70" t="s">
        <v>150</v>
      </c>
      <c r="I22" s="129"/>
      <c r="J22" s="69"/>
    </row>
    <row r="23" spans="1:10" ht="12.75" customHeight="1">
      <c r="A23" s="126" t="s">
        <v>151</v>
      </c>
      <c r="B23" s="70" t="s">
        <v>48</v>
      </c>
      <c r="C23" s="127" t="s">
        <v>113</v>
      </c>
      <c r="D23" s="127" t="s">
        <v>119</v>
      </c>
      <c r="E23" s="71" t="s">
        <v>152</v>
      </c>
      <c r="F23" s="71" t="s">
        <v>153</v>
      </c>
      <c r="G23" s="71" t="s">
        <v>127</v>
      </c>
      <c r="H23" s="71"/>
      <c r="I23" s="69"/>
      <c r="J23" s="69"/>
    </row>
    <row r="24" spans="1:10" ht="12.75" customHeight="1">
      <c r="A24" s="126" t="s">
        <v>154</v>
      </c>
      <c r="B24" s="126" t="s">
        <v>48</v>
      </c>
      <c r="C24" s="127" t="s">
        <v>113</v>
      </c>
      <c r="D24" s="127" t="s">
        <v>119</v>
      </c>
      <c r="E24" s="127" t="s">
        <v>155</v>
      </c>
      <c r="F24" s="71" t="s">
        <v>156</v>
      </c>
      <c r="G24" s="71" t="s">
        <v>140</v>
      </c>
      <c r="H24" s="70" t="s">
        <v>157</v>
      </c>
      <c r="I24" s="130"/>
      <c r="J24" s="71"/>
    </row>
    <row r="25" spans="1:10" ht="12.75" customHeight="1">
      <c r="A25" s="126" t="s">
        <v>158</v>
      </c>
      <c r="B25" s="126" t="s">
        <v>48</v>
      </c>
      <c r="C25" s="127" t="s">
        <v>113</v>
      </c>
      <c r="D25" s="127" t="s">
        <v>159</v>
      </c>
      <c r="E25" s="127" t="s">
        <v>160</v>
      </c>
      <c r="F25" s="71" t="s">
        <v>161</v>
      </c>
      <c r="G25" s="71" t="s">
        <v>162</v>
      </c>
      <c r="H25" s="70" t="s">
        <v>163</v>
      </c>
      <c r="I25" s="130"/>
      <c r="J25" s="71"/>
    </row>
    <row r="26" spans="1:10" ht="12.75" customHeight="1">
      <c r="A26" s="126" t="s">
        <v>164</v>
      </c>
      <c r="B26" s="126" t="s">
        <v>48</v>
      </c>
      <c r="C26" s="127" t="s">
        <v>113</v>
      </c>
      <c r="D26" s="127" t="s">
        <v>165</v>
      </c>
      <c r="E26" s="127" t="s">
        <v>166</v>
      </c>
      <c r="F26" s="71" t="s">
        <v>167</v>
      </c>
      <c r="G26" s="71" t="s">
        <v>168</v>
      </c>
      <c r="H26" s="70" t="s">
        <v>169</v>
      </c>
      <c r="I26" s="130"/>
      <c r="J26" s="70"/>
    </row>
    <row r="27" spans="1:10" ht="12.75" customHeight="1">
      <c r="A27" s="126" t="s">
        <v>170</v>
      </c>
      <c r="B27" s="126" t="s">
        <v>48</v>
      </c>
      <c r="C27" s="127" t="s">
        <v>113</v>
      </c>
      <c r="D27" s="127" t="s">
        <v>171</v>
      </c>
      <c r="E27" s="127" t="s">
        <v>172</v>
      </c>
      <c r="F27" s="71" t="s">
        <v>173</v>
      </c>
      <c r="G27" s="71" t="s">
        <v>174</v>
      </c>
      <c r="H27" s="70" t="s">
        <v>175</v>
      </c>
      <c r="I27" s="130"/>
      <c r="J27" s="6"/>
    </row>
  </sheetData>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72"/>
  <sheetViews>
    <sheetView topLeftCell="E1" zoomScale="80" zoomScaleNormal="80" workbookViewId="0">
      <selection activeCell="I2" sqref="I2:J71"/>
    </sheetView>
  </sheetViews>
  <sheetFormatPr defaultColWidth="10.140625" defaultRowHeight="12.75" customHeight="1"/>
  <cols>
    <col min="1" max="1" width="6.28515625" style="14" customWidth="1"/>
    <col min="2" max="2" width="15.42578125" style="14" customWidth="1"/>
    <col min="3" max="3" width="15.140625" style="14" customWidth="1"/>
    <col min="4" max="4" width="16.42578125" style="14" customWidth="1"/>
    <col min="5" max="5" width="67.140625" style="14" customWidth="1"/>
    <col min="6" max="6" width="46.28515625" style="14" customWidth="1"/>
    <col min="7" max="7" width="13.42578125" style="14" customWidth="1"/>
    <col min="8" max="8" width="30.5703125" style="12" customWidth="1"/>
    <col min="9" max="9" width="7.85546875" style="12" bestFit="1" customWidth="1"/>
    <col min="10" max="10" width="19.5703125" style="12" customWidth="1"/>
    <col min="11" max="17" width="10.140625" style="14" customWidth="1"/>
    <col min="18" max="16384" width="10.140625" style="14"/>
  </cols>
  <sheetData>
    <row r="1" spans="1:10" s="12" customFormat="1" ht="25.5" customHeight="1">
      <c r="A1" s="54" t="s">
        <v>37</v>
      </c>
      <c r="B1" s="54" t="s">
        <v>38</v>
      </c>
      <c r="C1" s="54" t="s">
        <v>39</v>
      </c>
      <c r="D1" s="54" t="s">
        <v>40</v>
      </c>
      <c r="E1" s="54" t="s">
        <v>41</v>
      </c>
      <c r="F1" s="54" t="s">
        <v>42</v>
      </c>
      <c r="G1" s="55" t="s">
        <v>176</v>
      </c>
      <c r="H1" s="117" t="s">
        <v>177</v>
      </c>
      <c r="I1" s="138" t="s">
        <v>45</v>
      </c>
      <c r="J1" s="135" t="s">
        <v>46</v>
      </c>
    </row>
    <row r="2" spans="1:10" ht="12.75" customHeight="1">
      <c r="A2" s="43" t="s">
        <v>47</v>
      </c>
      <c r="B2" s="43" t="s">
        <v>48</v>
      </c>
      <c r="C2" s="43" t="s">
        <v>22</v>
      </c>
      <c r="D2" s="43" t="s">
        <v>178</v>
      </c>
      <c r="E2" s="43" t="s">
        <v>179</v>
      </c>
      <c r="F2" s="43" t="s">
        <v>180</v>
      </c>
      <c r="G2" s="43" t="s">
        <v>181</v>
      </c>
      <c r="H2" s="118" t="s">
        <v>182</v>
      </c>
      <c r="I2" s="120"/>
      <c r="J2" s="43"/>
    </row>
    <row r="3" spans="1:10" ht="12.75" customHeight="1">
      <c r="A3" s="43" t="s">
        <v>55</v>
      </c>
      <c r="B3" s="43" t="s">
        <v>48</v>
      </c>
      <c r="C3" s="43" t="s">
        <v>22</v>
      </c>
      <c r="D3" s="43" t="s">
        <v>178</v>
      </c>
      <c r="E3" s="43" t="s">
        <v>183</v>
      </c>
      <c r="F3" s="43" t="s">
        <v>184</v>
      </c>
      <c r="G3" s="43" t="s">
        <v>185</v>
      </c>
      <c r="H3" s="118" t="s">
        <v>186</v>
      </c>
      <c r="I3" s="120"/>
      <c r="J3" s="43"/>
    </row>
    <row r="4" spans="1:10" ht="12.75" customHeight="1">
      <c r="A4" s="43" t="s">
        <v>60</v>
      </c>
      <c r="B4" s="43" t="s">
        <v>48</v>
      </c>
      <c r="C4" s="43" t="s">
        <v>22</v>
      </c>
      <c r="D4" s="43" t="s">
        <v>187</v>
      </c>
      <c r="E4" s="43" t="s">
        <v>188</v>
      </c>
      <c r="F4" s="43" t="s">
        <v>189</v>
      </c>
      <c r="G4" s="43" t="s">
        <v>190</v>
      </c>
      <c r="H4" s="118" t="s">
        <v>191</v>
      </c>
      <c r="I4" s="120"/>
      <c r="J4" s="43"/>
    </row>
    <row r="5" spans="1:10" ht="12.75" customHeight="1">
      <c r="A5" s="43" t="s">
        <v>65</v>
      </c>
      <c r="B5" s="43" t="s">
        <v>48</v>
      </c>
      <c r="C5" s="43" t="s">
        <v>22</v>
      </c>
      <c r="D5" s="43" t="s">
        <v>192</v>
      </c>
      <c r="E5" s="43" t="s">
        <v>193</v>
      </c>
      <c r="F5" s="43" t="s">
        <v>194</v>
      </c>
      <c r="G5" s="43" t="s">
        <v>195</v>
      </c>
      <c r="H5" s="118" t="s">
        <v>196</v>
      </c>
      <c r="I5" s="120"/>
      <c r="J5" s="43"/>
    </row>
    <row r="6" spans="1:10" ht="12.75" customHeight="1">
      <c r="A6" s="43" t="s">
        <v>70</v>
      </c>
      <c r="B6" s="43" t="s">
        <v>48</v>
      </c>
      <c r="C6" s="43" t="s">
        <v>22</v>
      </c>
      <c r="D6" s="43" t="s">
        <v>192</v>
      </c>
      <c r="E6" s="43" t="s">
        <v>197</v>
      </c>
      <c r="F6" s="43" t="s">
        <v>198</v>
      </c>
      <c r="G6" s="43" t="s">
        <v>199</v>
      </c>
      <c r="H6" s="118" t="s">
        <v>200</v>
      </c>
      <c r="I6" s="120"/>
      <c r="J6" s="43"/>
    </row>
    <row r="7" spans="1:10" ht="12.75" customHeight="1">
      <c r="A7" s="43" t="s">
        <v>74</v>
      </c>
      <c r="B7" s="43" t="s">
        <v>48</v>
      </c>
      <c r="C7" s="43" t="s">
        <v>22</v>
      </c>
      <c r="D7" s="43" t="s">
        <v>192</v>
      </c>
      <c r="E7" s="43" t="s">
        <v>201</v>
      </c>
      <c r="F7" s="43" t="s">
        <v>202</v>
      </c>
      <c r="G7" s="43" t="s">
        <v>203</v>
      </c>
      <c r="H7" s="118" t="s">
        <v>204</v>
      </c>
      <c r="I7" s="120"/>
      <c r="J7" s="43"/>
    </row>
    <row r="8" spans="1:10" ht="12.75" customHeight="1">
      <c r="A8" s="43" t="s">
        <v>79</v>
      </c>
      <c r="B8" s="43" t="s">
        <v>48</v>
      </c>
      <c r="C8" s="43" t="s">
        <v>22</v>
      </c>
      <c r="D8" s="43" t="s">
        <v>205</v>
      </c>
      <c r="E8" s="43" t="s">
        <v>206</v>
      </c>
      <c r="F8" s="43" t="s">
        <v>207</v>
      </c>
      <c r="G8" s="43" t="s">
        <v>208</v>
      </c>
      <c r="H8" s="118" t="s">
        <v>209</v>
      </c>
      <c r="I8" s="120"/>
      <c r="J8" s="43"/>
    </row>
    <row r="9" spans="1:10" ht="12.75" customHeight="1">
      <c r="A9" s="43" t="s">
        <v>84</v>
      </c>
      <c r="B9" s="43" t="s">
        <v>48</v>
      </c>
      <c r="C9" s="43" t="s">
        <v>22</v>
      </c>
      <c r="D9" s="43" t="s">
        <v>205</v>
      </c>
      <c r="E9" s="43" t="s">
        <v>210</v>
      </c>
      <c r="F9" s="43" t="s">
        <v>211</v>
      </c>
      <c r="G9" s="43" t="s">
        <v>212</v>
      </c>
      <c r="H9" s="118" t="s">
        <v>213</v>
      </c>
      <c r="I9" s="120"/>
      <c r="J9" s="43"/>
    </row>
    <row r="10" spans="1:10" ht="12.75" customHeight="1">
      <c r="A10" s="43" t="s">
        <v>89</v>
      </c>
      <c r="B10" s="43" t="s">
        <v>48</v>
      </c>
      <c r="C10" s="43" t="s">
        <v>22</v>
      </c>
      <c r="D10" s="43" t="s">
        <v>205</v>
      </c>
      <c r="E10" s="43" t="s">
        <v>214</v>
      </c>
      <c r="F10" s="43" t="s">
        <v>215</v>
      </c>
      <c r="G10" s="43" t="s">
        <v>216</v>
      </c>
      <c r="H10" s="118" t="s">
        <v>217</v>
      </c>
      <c r="I10" s="122"/>
      <c r="J10" s="60"/>
    </row>
    <row r="11" spans="1:10" ht="12.75" customHeight="1">
      <c r="A11" s="43" t="s">
        <v>94</v>
      </c>
      <c r="B11" s="43" t="s">
        <v>48</v>
      </c>
      <c r="C11" s="43" t="s">
        <v>22</v>
      </c>
      <c r="D11" s="43" t="s">
        <v>205</v>
      </c>
      <c r="E11" s="43" t="s">
        <v>218</v>
      </c>
      <c r="F11" s="43" t="s">
        <v>219</v>
      </c>
      <c r="G11" s="43" t="s">
        <v>220</v>
      </c>
      <c r="H11" s="78" t="s">
        <v>221</v>
      </c>
      <c r="I11" s="120"/>
      <c r="J11" s="43"/>
    </row>
    <row r="12" spans="1:10" ht="12.75" customHeight="1">
      <c r="A12" s="43" t="s">
        <v>99</v>
      </c>
      <c r="B12" s="43" t="s">
        <v>48</v>
      </c>
      <c r="C12" s="43" t="s">
        <v>22</v>
      </c>
      <c r="D12" s="43" t="s">
        <v>159</v>
      </c>
      <c r="E12" s="43" t="s">
        <v>222</v>
      </c>
      <c r="F12" s="43" t="s">
        <v>223</v>
      </c>
      <c r="G12" s="43" t="s">
        <v>224</v>
      </c>
      <c r="H12" s="118" t="s">
        <v>225</v>
      </c>
      <c r="I12" s="120"/>
      <c r="J12" s="43"/>
    </row>
    <row r="13" spans="1:10" ht="12.75" customHeight="1">
      <c r="A13" s="43" t="s">
        <v>103</v>
      </c>
      <c r="B13" s="43" t="s">
        <v>48</v>
      </c>
      <c r="C13" s="43" t="s">
        <v>22</v>
      </c>
      <c r="D13" s="43" t="s">
        <v>226</v>
      </c>
      <c r="E13" s="43" t="s">
        <v>227</v>
      </c>
      <c r="F13" s="43" t="s">
        <v>228</v>
      </c>
      <c r="G13" s="43" t="s">
        <v>229</v>
      </c>
      <c r="H13" s="118" t="s">
        <v>230</v>
      </c>
      <c r="I13" s="120"/>
      <c r="J13" s="43"/>
    </row>
    <row r="14" spans="1:10" ht="12.75" customHeight="1">
      <c r="A14" s="43" t="s">
        <v>108</v>
      </c>
      <c r="B14" s="43" t="s">
        <v>48</v>
      </c>
      <c r="C14" s="43" t="s">
        <v>22</v>
      </c>
      <c r="D14" s="43" t="s">
        <v>226</v>
      </c>
      <c r="E14" s="43" t="s">
        <v>231</v>
      </c>
      <c r="F14" s="43" t="s">
        <v>232</v>
      </c>
      <c r="G14" s="43" t="s">
        <v>233</v>
      </c>
      <c r="H14" s="118" t="s">
        <v>234</v>
      </c>
      <c r="I14" s="120"/>
      <c r="J14" s="43"/>
    </row>
    <row r="15" spans="1:10" ht="12.75" customHeight="1">
      <c r="A15" s="43" t="s">
        <v>112</v>
      </c>
      <c r="B15" s="43" t="s">
        <v>48</v>
      </c>
      <c r="C15" s="43" t="s">
        <v>22</v>
      </c>
      <c r="D15" s="43" t="s">
        <v>226</v>
      </c>
      <c r="E15" s="43" t="s">
        <v>235</v>
      </c>
      <c r="F15" s="43" t="s">
        <v>236</v>
      </c>
      <c r="G15" s="43" t="s">
        <v>237</v>
      </c>
      <c r="H15" s="118" t="s">
        <v>238</v>
      </c>
      <c r="I15" s="120"/>
      <c r="J15" s="43"/>
    </row>
    <row r="16" spans="1:10" ht="12.75" customHeight="1">
      <c r="A16" s="43" t="s">
        <v>118</v>
      </c>
      <c r="B16" s="43" t="s">
        <v>48</v>
      </c>
      <c r="C16" s="43" t="s">
        <v>22</v>
      </c>
      <c r="D16" s="43" t="s">
        <v>226</v>
      </c>
      <c r="E16" s="43" t="s">
        <v>239</v>
      </c>
      <c r="F16" s="43" t="s">
        <v>240</v>
      </c>
      <c r="G16" s="43" t="s">
        <v>241</v>
      </c>
      <c r="H16" s="118" t="s">
        <v>242</v>
      </c>
      <c r="I16" s="120"/>
      <c r="J16" s="43"/>
    </row>
    <row r="17" spans="1:10" ht="12.75" customHeight="1">
      <c r="A17" s="43" t="s">
        <v>124</v>
      </c>
      <c r="B17" s="43" t="s">
        <v>48</v>
      </c>
      <c r="C17" s="43" t="s">
        <v>22</v>
      </c>
      <c r="D17" s="43" t="s">
        <v>226</v>
      </c>
      <c r="E17" s="43" t="s">
        <v>243</v>
      </c>
      <c r="F17" s="43" t="s">
        <v>244</v>
      </c>
      <c r="G17" s="43" t="s">
        <v>245</v>
      </c>
      <c r="H17" s="118" t="s">
        <v>246</v>
      </c>
      <c r="I17" s="238"/>
      <c r="J17" s="56"/>
    </row>
    <row r="18" spans="1:10" ht="12.75" customHeight="1">
      <c r="A18" s="43" t="s">
        <v>129</v>
      </c>
      <c r="B18" s="43" t="s">
        <v>48</v>
      </c>
      <c r="C18" s="43" t="s">
        <v>22</v>
      </c>
      <c r="D18" s="43" t="s">
        <v>226</v>
      </c>
      <c r="E18" s="43" t="s">
        <v>247</v>
      </c>
      <c r="F18" s="46" t="s">
        <v>248</v>
      </c>
      <c r="G18" s="43" t="s">
        <v>249</v>
      </c>
      <c r="H18" s="118" t="s">
        <v>250</v>
      </c>
      <c r="I18" s="120"/>
      <c r="J18" s="120"/>
    </row>
    <row r="19" spans="1:10" ht="12.75" customHeight="1">
      <c r="A19" s="43" t="s">
        <v>133</v>
      </c>
      <c r="B19" s="43" t="s">
        <v>48</v>
      </c>
      <c r="C19" s="43" t="s">
        <v>22</v>
      </c>
      <c r="D19" s="43" t="s">
        <v>226</v>
      </c>
      <c r="E19" s="43" t="s">
        <v>251</v>
      </c>
      <c r="F19" s="46" t="s">
        <v>252</v>
      </c>
      <c r="G19" s="43" t="s">
        <v>253</v>
      </c>
      <c r="H19" s="118" t="s">
        <v>254</v>
      </c>
      <c r="I19" s="120"/>
      <c r="J19" s="120"/>
    </row>
    <row r="20" spans="1:10" ht="12.75" customHeight="1">
      <c r="A20" s="43" t="s">
        <v>137</v>
      </c>
      <c r="B20" s="43" t="s">
        <v>48</v>
      </c>
      <c r="C20" s="43" t="s">
        <v>22</v>
      </c>
      <c r="D20" s="43" t="s">
        <v>226</v>
      </c>
      <c r="E20" s="43" t="s">
        <v>255</v>
      </c>
      <c r="F20" s="46" t="s">
        <v>256</v>
      </c>
      <c r="G20" s="43" t="s">
        <v>257</v>
      </c>
      <c r="H20" s="118" t="s">
        <v>258</v>
      </c>
      <c r="I20" s="120"/>
      <c r="J20" s="43"/>
    </row>
    <row r="21" spans="1:10" ht="12.75" customHeight="1">
      <c r="A21" s="43" t="s">
        <v>142</v>
      </c>
      <c r="B21" s="43" t="s">
        <v>48</v>
      </c>
      <c r="C21" s="43" t="s">
        <v>22</v>
      </c>
      <c r="D21" s="43" t="s">
        <v>226</v>
      </c>
      <c r="E21" s="43" t="s">
        <v>259</v>
      </c>
      <c r="F21" s="46" t="s">
        <v>260</v>
      </c>
      <c r="G21" s="43" t="s">
        <v>261</v>
      </c>
      <c r="H21" s="118" t="s">
        <v>262</v>
      </c>
      <c r="I21" s="120"/>
      <c r="J21" s="43"/>
    </row>
    <row r="22" spans="1:10" ht="12.75" customHeight="1">
      <c r="A22" s="43" t="s">
        <v>146</v>
      </c>
      <c r="B22" s="43" t="s">
        <v>48</v>
      </c>
      <c r="C22" s="43" t="s">
        <v>22</v>
      </c>
      <c r="D22" s="43" t="s">
        <v>226</v>
      </c>
      <c r="E22" s="43" t="s">
        <v>263</v>
      </c>
      <c r="F22" s="46" t="s">
        <v>264</v>
      </c>
      <c r="G22" s="46" t="s">
        <v>265</v>
      </c>
      <c r="H22" s="118" t="s">
        <v>266</v>
      </c>
      <c r="I22" s="57"/>
      <c r="J22" s="46"/>
    </row>
    <row r="23" spans="1:10" ht="12.75" customHeight="1">
      <c r="A23" s="43" t="s">
        <v>151</v>
      </c>
      <c r="B23" s="43" t="s">
        <v>48</v>
      </c>
      <c r="C23" s="43" t="s">
        <v>22</v>
      </c>
      <c r="D23" s="43" t="s">
        <v>226</v>
      </c>
      <c r="E23" s="43" t="s">
        <v>267</v>
      </c>
      <c r="F23" s="46" t="s">
        <v>268</v>
      </c>
      <c r="G23" s="43" t="s">
        <v>269</v>
      </c>
      <c r="H23" s="118" t="s">
        <v>270</v>
      </c>
      <c r="I23" s="57"/>
      <c r="J23" s="46"/>
    </row>
    <row r="24" spans="1:10" ht="12.75" customHeight="1">
      <c r="A24" s="43" t="s">
        <v>154</v>
      </c>
      <c r="B24" s="43" t="s">
        <v>48</v>
      </c>
      <c r="C24" s="43" t="s">
        <v>22</v>
      </c>
      <c r="D24" s="43" t="s">
        <v>226</v>
      </c>
      <c r="E24" s="43" t="s">
        <v>271</v>
      </c>
      <c r="F24" s="46" t="s">
        <v>272</v>
      </c>
      <c r="G24" s="43" t="s">
        <v>273</v>
      </c>
      <c r="H24" s="118" t="s">
        <v>274</v>
      </c>
      <c r="I24" s="57"/>
      <c r="J24" s="46"/>
    </row>
    <row r="25" spans="1:10" ht="12.75" customHeight="1">
      <c r="A25" s="43" t="s">
        <v>158</v>
      </c>
      <c r="B25" s="43" t="s">
        <v>48</v>
      </c>
      <c r="C25" s="43" t="s">
        <v>22</v>
      </c>
      <c r="D25" s="43" t="s">
        <v>226</v>
      </c>
      <c r="E25" s="43" t="s">
        <v>275</v>
      </c>
      <c r="F25" s="46" t="s">
        <v>276</v>
      </c>
      <c r="G25" s="43" t="s">
        <v>277</v>
      </c>
      <c r="H25" s="118" t="s">
        <v>278</v>
      </c>
      <c r="I25" s="57"/>
      <c r="J25" s="46"/>
    </row>
    <row r="26" spans="1:10" ht="12.75" customHeight="1">
      <c r="A26" s="43" t="s">
        <v>170</v>
      </c>
      <c r="B26" s="43" t="s">
        <v>48</v>
      </c>
      <c r="C26" s="43" t="s">
        <v>22</v>
      </c>
      <c r="D26" s="43" t="s">
        <v>24</v>
      </c>
      <c r="E26" s="43" t="s">
        <v>279</v>
      </c>
      <c r="F26" s="43" t="s">
        <v>280</v>
      </c>
      <c r="G26" s="43" t="s">
        <v>281</v>
      </c>
      <c r="H26" s="118" t="s">
        <v>282</v>
      </c>
      <c r="I26" s="57"/>
      <c r="J26" s="46"/>
    </row>
    <row r="27" spans="1:10" ht="12.75" customHeight="1">
      <c r="A27" s="43" t="s">
        <v>283</v>
      </c>
      <c r="B27" s="43" t="s">
        <v>48</v>
      </c>
      <c r="C27" s="43" t="s">
        <v>22</v>
      </c>
      <c r="D27" s="43" t="s">
        <v>24</v>
      </c>
      <c r="E27" s="43" t="s">
        <v>284</v>
      </c>
      <c r="F27" s="43" t="s">
        <v>285</v>
      </c>
      <c r="G27" s="43" t="s">
        <v>286</v>
      </c>
      <c r="H27" s="118" t="s">
        <v>287</v>
      </c>
      <c r="I27" s="120"/>
      <c r="J27" s="120"/>
    </row>
    <row r="28" spans="1:10" ht="12.75" customHeight="1">
      <c r="A28" s="43" t="s">
        <v>288</v>
      </c>
      <c r="B28" s="43" t="s">
        <v>48</v>
      </c>
      <c r="C28" s="43" t="s">
        <v>22</v>
      </c>
      <c r="D28" s="43" t="s">
        <v>24</v>
      </c>
      <c r="E28" s="43" t="s">
        <v>289</v>
      </c>
      <c r="F28" s="43" t="s">
        <v>290</v>
      </c>
      <c r="G28" s="43" t="s">
        <v>291</v>
      </c>
      <c r="H28" s="118" t="s">
        <v>292</v>
      </c>
      <c r="I28" s="120"/>
      <c r="J28" s="43"/>
    </row>
    <row r="29" spans="1:10" ht="12.75" customHeight="1">
      <c r="A29" s="43" t="s">
        <v>293</v>
      </c>
      <c r="B29" s="43" t="s">
        <v>48</v>
      </c>
      <c r="C29" s="43" t="s">
        <v>22</v>
      </c>
      <c r="D29" s="43" t="s">
        <v>24</v>
      </c>
      <c r="E29" s="43" t="s">
        <v>294</v>
      </c>
      <c r="F29" s="43" t="s">
        <v>295</v>
      </c>
      <c r="G29" s="43" t="s">
        <v>296</v>
      </c>
      <c r="H29" s="118" t="s">
        <v>297</v>
      </c>
      <c r="I29" s="120"/>
      <c r="J29" s="43"/>
    </row>
    <row r="30" spans="1:10" ht="12.75" customHeight="1">
      <c r="A30" s="43" t="s">
        <v>298</v>
      </c>
      <c r="B30" s="43" t="s">
        <v>48</v>
      </c>
      <c r="C30" s="43" t="s">
        <v>22</v>
      </c>
      <c r="D30" s="43" t="s">
        <v>24</v>
      </c>
      <c r="E30" s="43" t="s">
        <v>299</v>
      </c>
      <c r="F30" s="43" t="s">
        <v>300</v>
      </c>
      <c r="G30" s="43" t="s">
        <v>301</v>
      </c>
      <c r="H30" s="118" t="s">
        <v>302</v>
      </c>
      <c r="I30" s="120"/>
      <c r="J30" s="43"/>
    </row>
    <row r="31" spans="1:10" ht="12.75" customHeight="1">
      <c r="A31" s="43" t="s">
        <v>303</v>
      </c>
      <c r="B31" s="43" t="s">
        <v>48</v>
      </c>
      <c r="C31" s="43" t="s">
        <v>22</v>
      </c>
      <c r="D31" s="43" t="s">
        <v>24</v>
      </c>
      <c r="E31" s="43" t="s">
        <v>304</v>
      </c>
      <c r="F31" s="43" t="s">
        <v>305</v>
      </c>
      <c r="G31" s="43" t="s">
        <v>306</v>
      </c>
      <c r="H31" s="118" t="s">
        <v>307</v>
      </c>
      <c r="I31" s="120"/>
      <c r="J31" s="43"/>
    </row>
    <row r="32" spans="1:10" ht="12.75" customHeight="1">
      <c r="A32" s="43" t="s">
        <v>308</v>
      </c>
      <c r="B32" s="43" t="s">
        <v>48</v>
      </c>
      <c r="C32" s="43" t="s">
        <v>22</v>
      </c>
      <c r="D32" s="43" t="s">
        <v>24</v>
      </c>
      <c r="E32" s="43" t="s">
        <v>309</v>
      </c>
      <c r="F32" s="46" t="s">
        <v>310</v>
      </c>
      <c r="G32" s="43" t="s">
        <v>311</v>
      </c>
      <c r="H32" s="118" t="s">
        <v>312</v>
      </c>
      <c r="I32" s="57"/>
      <c r="J32" s="57"/>
    </row>
    <row r="33" spans="1:10" ht="12.75" customHeight="1">
      <c r="A33" s="43" t="s">
        <v>313</v>
      </c>
      <c r="B33" s="43" t="s">
        <v>48</v>
      </c>
      <c r="C33" s="43" t="s">
        <v>22</v>
      </c>
      <c r="D33" s="43" t="s">
        <v>24</v>
      </c>
      <c r="E33" s="43" t="s">
        <v>314</v>
      </c>
      <c r="F33" s="46" t="s">
        <v>315</v>
      </c>
      <c r="G33" s="43" t="s">
        <v>316</v>
      </c>
      <c r="H33" s="118" t="s">
        <v>317</v>
      </c>
      <c r="I33" s="120"/>
      <c r="J33" s="46"/>
    </row>
    <row r="34" spans="1:10" ht="12.75" customHeight="1">
      <c r="A34" s="43" t="s">
        <v>318</v>
      </c>
      <c r="B34" s="43" t="s">
        <v>48</v>
      </c>
      <c r="C34" s="43" t="s">
        <v>22</v>
      </c>
      <c r="D34" s="43" t="s">
        <v>26</v>
      </c>
      <c r="E34" s="43" t="s">
        <v>319</v>
      </c>
      <c r="F34" s="43" t="s">
        <v>320</v>
      </c>
      <c r="G34" s="43" t="s">
        <v>321</v>
      </c>
      <c r="H34" s="118" t="s">
        <v>322</v>
      </c>
      <c r="I34" s="120"/>
      <c r="J34" s="43"/>
    </row>
    <row r="35" spans="1:10" ht="104.25" customHeight="1">
      <c r="A35" s="43" t="s">
        <v>323</v>
      </c>
      <c r="B35" s="43" t="s">
        <v>48</v>
      </c>
      <c r="C35" s="43" t="s">
        <v>22</v>
      </c>
      <c r="D35" s="43" t="s">
        <v>26</v>
      </c>
      <c r="E35" s="43" t="s">
        <v>324</v>
      </c>
      <c r="F35" s="43" t="s">
        <v>320</v>
      </c>
      <c r="G35" s="43" t="s">
        <v>325</v>
      </c>
      <c r="H35" s="43" t="s">
        <v>326</v>
      </c>
      <c r="I35" s="57"/>
      <c r="J35" s="43"/>
    </row>
    <row r="36" spans="1:10" ht="12.75" customHeight="1">
      <c r="A36" s="43" t="s">
        <v>327</v>
      </c>
      <c r="B36" s="43" t="s">
        <v>48</v>
      </c>
      <c r="C36" s="43" t="s">
        <v>22</v>
      </c>
      <c r="D36" s="43" t="s">
        <v>328</v>
      </c>
      <c r="E36" s="43" t="s">
        <v>329</v>
      </c>
      <c r="F36" s="43" t="s">
        <v>330</v>
      </c>
      <c r="G36" s="43" t="s">
        <v>331</v>
      </c>
      <c r="H36" s="43" t="s">
        <v>332</v>
      </c>
      <c r="I36" s="120"/>
      <c r="J36" s="43"/>
    </row>
    <row r="37" spans="1:10" ht="12.75" customHeight="1">
      <c r="A37" s="43" t="s">
        <v>333</v>
      </c>
      <c r="B37" s="43" t="s">
        <v>48</v>
      </c>
      <c r="C37" s="43" t="s">
        <v>22</v>
      </c>
      <c r="D37" s="43" t="s">
        <v>328</v>
      </c>
      <c r="E37" s="43" t="s">
        <v>334</v>
      </c>
      <c r="F37" s="43" t="s">
        <v>335</v>
      </c>
      <c r="G37" s="43" t="s">
        <v>336</v>
      </c>
      <c r="H37" s="43" t="s">
        <v>337</v>
      </c>
      <c r="I37" s="120"/>
      <c r="J37" s="120"/>
    </row>
    <row r="38" spans="1:10" ht="12.75" customHeight="1">
      <c r="A38" s="43" t="s">
        <v>338</v>
      </c>
      <c r="B38" s="43" t="s">
        <v>48</v>
      </c>
      <c r="C38" s="43" t="s">
        <v>22</v>
      </c>
      <c r="D38" s="43" t="s">
        <v>328</v>
      </c>
      <c r="E38" s="43" t="s">
        <v>339</v>
      </c>
      <c r="F38" s="43" t="s">
        <v>340</v>
      </c>
      <c r="G38" s="43" t="s">
        <v>341</v>
      </c>
      <c r="H38" s="43" t="s">
        <v>342</v>
      </c>
      <c r="I38" s="239"/>
      <c r="J38" s="56"/>
    </row>
    <row r="39" spans="1:10" ht="12.75" customHeight="1">
      <c r="A39" s="43" t="s">
        <v>343</v>
      </c>
      <c r="B39" s="43" t="s">
        <v>48</v>
      </c>
      <c r="C39" s="43" t="s">
        <v>22</v>
      </c>
      <c r="D39" s="43" t="s">
        <v>344</v>
      </c>
      <c r="E39" s="43" t="s">
        <v>345</v>
      </c>
      <c r="F39" s="43" t="s">
        <v>346</v>
      </c>
      <c r="G39" s="43" t="s">
        <v>347</v>
      </c>
      <c r="H39" s="43" t="s">
        <v>348</v>
      </c>
      <c r="I39" s="120"/>
      <c r="J39" s="43"/>
    </row>
    <row r="40" spans="1:10" ht="123.75" customHeight="1">
      <c r="A40" s="43" t="s">
        <v>349</v>
      </c>
      <c r="B40" s="43" t="s">
        <v>48</v>
      </c>
      <c r="C40" s="43" t="s">
        <v>22</v>
      </c>
      <c r="D40" s="43" t="s">
        <v>344</v>
      </c>
      <c r="E40" s="43" t="s">
        <v>350</v>
      </c>
      <c r="F40" s="43" t="s">
        <v>351</v>
      </c>
      <c r="G40" s="43" t="s">
        <v>352</v>
      </c>
      <c r="H40" s="43" t="s">
        <v>353</v>
      </c>
      <c r="I40" s="120"/>
      <c r="J40" s="43"/>
    </row>
    <row r="41" spans="1:10" ht="47.25" customHeight="1">
      <c r="A41" s="43" t="s">
        <v>354</v>
      </c>
      <c r="B41" s="43" t="s">
        <v>48</v>
      </c>
      <c r="C41" s="43" t="s">
        <v>22</v>
      </c>
      <c r="D41" s="43" t="s">
        <v>328</v>
      </c>
      <c r="E41" s="43" t="s">
        <v>355</v>
      </c>
      <c r="F41" s="43" t="s">
        <v>356</v>
      </c>
      <c r="G41" s="43" t="s">
        <v>357</v>
      </c>
      <c r="H41" s="118" t="s">
        <v>358</v>
      </c>
      <c r="I41" s="120"/>
      <c r="J41" s="43"/>
    </row>
    <row r="42" spans="1:10" ht="25.5" customHeight="1">
      <c r="A42" s="43" t="s">
        <v>359</v>
      </c>
      <c r="B42" s="43" t="s">
        <v>48</v>
      </c>
      <c r="C42" s="43" t="s">
        <v>22</v>
      </c>
      <c r="D42" s="43" t="s">
        <v>328</v>
      </c>
      <c r="E42" s="43" t="s">
        <v>360</v>
      </c>
      <c r="F42" s="43" t="s">
        <v>361</v>
      </c>
      <c r="G42" s="43" t="s">
        <v>362</v>
      </c>
      <c r="H42" s="119"/>
      <c r="I42" s="57"/>
      <c r="J42" s="57"/>
    </row>
    <row r="43" spans="1:10" ht="12.75" customHeight="1">
      <c r="A43" s="43" t="s">
        <v>363</v>
      </c>
      <c r="B43" s="43" t="s">
        <v>48</v>
      </c>
      <c r="C43" s="43" t="s">
        <v>22</v>
      </c>
      <c r="D43" s="43" t="s">
        <v>328</v>
      </c>
      <c r="E43" s="43" t="s">
        <v>364</v>
      </c>
      <c r="F43" s="43" t="s">
        <v>365</v>
      </c>
      <c r="G43" s="43" t="s">
        <v>366</v>
      </c>
      <c r="H43" s="118" t="s">
        <v>367</v>
      </c>
      <c r="I43" s="120"/>
      <c r="J43" s="43"/>
    </row>
    <row r="44" spans="1:10" ht="25.5" customHeight="1">
      <c r="A44" s="43" t="s">
        <v>368</v>
      </c>
      <c r="B44" s="43" t="s">
        <v>48</v>
      </c>
      <c r="C44" s="43" t="s">
        <v>22</v>
      </c>
      <c r="D44" s="43" t="s">
        <v>328</v>
      </c>
      <c r="E44" s="43" t="s">
        <v>369</v>
      </c>
      <c r="F44" s="43" t="s">
        <v>370</v>
      </c>
      <c r="G44" s="43" t="s">
        <v>371</v>
      </c>
      <c r="H44" s="119"/>
      <c r="I44" s="57"/>
      <c r="J44" s="57"/>
    </row>
    <row r="45" spans="1:10" ht="12.75" customHeight="1">
      <c r="A45" s="43" t="s">
        <v>372</v>
      </c>
      <c r="B45" s="43" t="s">
        <v>48</v>
      </c>
      <c r="C45" s="43" t="s">
        <v>22</v>
      </c>
      <c r="D45" s="43" t="s">
        <v>178</v>
      </c>
      <c r="E45" s="43" t="s">
        <v>373</v>
      </c>
      <c r="F45" s="43" t="s">
        <v>374</v>
      </c>
      <c r="G45" s="43" t="s">
        <v>375</v>
      </c>
      <c r="H45" s="118" t="s">
        <v>376</v>
      </c>
      <c r="I45" s="240"/>
      <c r="J45" s="19"/>
    </row>
    <row r="46" spans="1:10" ht="12.75" customHeight="1">
      <c r="A46" s="43" t="s">
        <v>377</v>
      </c>
      <c r="B46" s="43" t="s">
        <v>48</v>
      </c>
      <c r="C46" s="43" t="s">
        <v>22</v>
      </c>
      <c r="D46" s="43" t="s">
        <v>178</v>
      </c>
      <c r="E46" s="43" t="s">
        <v>378</v>
      </c>
      <c r="F46" s="43" t="s">
        <v>379</v>
      </c>
      <c r="G46" s="43" t="s">
        <v>380</v>
      </c>
      <c r="H46" s="118" t="s">
        <v>381</v>
      </c>
      <c r="I46" s="120"/>
      <c r="J46" s="43"/>
    </row>
    <row r="47" spans="1:10" ht="12.75" customHeight="1">
      <c r="A47" s="43" t="s">
        <v>382</v>
      </c>
      <c r="B47" s="43" t="s">
        <v>48</v>
      </c>
      <c r="C47" s="43" t="s">
        <v>22</v>
      </c>
      <c r="D47" s="43" t="s">
        <v>113</v>
      </c>
      <c r="E47" s="43" t="s">
        <v>383</v>
      </c>
      <c r="F47" s="43" t="s">
        <v>384</v>
      </c>
      <c r="G47" s="43" t="s">
        <v>116</v>
      </c>
      <c r="H47" s="118" t="s">
        <v>385</v>
      </c>
      <c r="I47" s="120"/>
      <c r="J47" s="43"/>
    </row>
    <row r="48" spans="1:10" ht="12.75" customHeight="1">
      <c r="A48" s="43" t="s">
        <v>386</v>
      </c>
      <c r="B48" s="43" t="s">
        <v>48</v>
      </c>
      <c r="C48" s="43" t="s">
        <v>22</v>
      </c>
      <c r="D48" s="43" t="s">
        <v>113</v>
      </c>
      <c r="E48" s="43" t="s">
        <v>387</v>
      </c>
      <c r="F48" s="43" t="s">
        <v>388</v>
      </c>
      <c r="G48" s="43" t="s">
        <v>127</v>
      </c>
      <c r="H48" s="118" t="s">
        <v>389</v>
      </c>
      <c r="I48" s="120"/>
      <c r="J48" s="43"/>
    </row>
    <row r="49" spans="1:10" ht="12.75" customHeight="1">
      <c r="A49" s="43" t="s">
        <v>390</v>
      </c>
      <c r="B49" s="43" t="s">
        <v>48</v>
      </c>
      <c r="C49" s="43" t="s">
        <v>22</v>
      </c>
      <c r="D49" s="43" t="s">
        <v>113</v>
      </c>
      <c r="E49" s="43" t="s">
        <v>391</v>
      </c>
      <c r="F49" s="43" t="s">
        <v>392</v>
      </c>
      <c r="G49" s="43" t="s">
        <v>127</v>
      </c>
      <c r="H49" s="118" t="s">
        <v>393</v>
      </c>
      <c r="I49" s="120"/>
      <c r="J49" s="43"/>
    </row>
    <row r="50" spans="1:10" ht="12.75" customHeight="1">
      <c r="A50" s="43" t="s">
        <v>394</v>
      </c>
      <c r="B50" s="43" t="s">
        <v>48</v>
      </c>
      <c r="C50" s="43" t="s">
        <v>22</v>
      </c>
      <c r="D50" s="43" t="s">
        <v>113</v>
      </c>
      <c r="E50" s="43" t="s">
        <v>395</v>
      </c>
      <c r="F50" s="43" t="s">
        <v>396</v>
      </c>
      <c r="G50" s="43" t="s">
        <v>140</v>
      </c>
      <c r="H50" s="118" t="s">
        <v>397</v>
      </c>
      <c r="I50" s="120"/>
      <c r="J50" s="43"/>
    </row>
    <row r="51" spans="1:10" ht="12.75" customHeight="1">
      <c r="A51" s="43" t="s">
        <v>398</v>
      </c>
      <c r="B51" s="43" t="s">
        <v>48</v>
      </c>
      <c r="C51" s="43" t="s">
        <v>22</v>
      </c>
      <c r="D51" s="43" t="s">
        <v>113</v>
      </c>
      <c r="E51" s="43" t="s">
        <v>147</v>
      </c>
      <c r="F51" s="43" t="s">
        <v>399</v>
      </c>
      <c r="G51" s="43" t="s">
        <v>149</v>
      </c>
      <c r="H51" s="118" t="s">
        <v>400</v>
      </c>
      <c r="I51" s="120"/>
      <c r="J51" s="43"/>
    </row>
    <row r="52" spans="1:10" ht="12.75" customHeight="1">
      <c r="A52" s="43" t="s">
        <v>401</v>
      </c>
      <c r="B52" s="43" t="s">
        <v>48</v>
      </c>
      <c r="C52" s="43" t="s">
        <v>22</v>
      </c>
      <c r="D52" s="43" t="s">
        <v>113</v>
      </c>
      <c r="E52" s="43" t="s">
        <v>395</v>
      </c>
      <c r="F52" s="43" t="s">
        <v>402</v>
      </c>
      <c r="G52" s="43" t="s">
        <v>140</v>
      </c>
      <c r="H52" s="118" t="s">
        <v>403</v>
      </c>
      <c r="I52" s="120"/>
      <c r="J52" s="43"/>
    </row>
    <row r="53" spans="1:10" ht="12.75" customHeight="1">
      <c r="A53" s="43" t="s">
        <v>404</v>
      </c>
      <c r="B53" s="43" t="s">
        <v>48</v>
      </c>
      <c r="C53" s="43" t="s">
        <v>22</v>
      </c>
      <c r="D53" s="43" t="s">
        <v>113</v>
      </c>
      <c r="E53" s="43" t="s">
        <v>160</v>
      </c>
      <c r="F53" s="43" t="s">
        <v>405</v>
      </c>
      <c r="G53" s="43" t="s">
        <v>162</v>
      </c>
      <c r="H53" s="119" t="s">
        <v>406</v>
      </c>
      <c r="I53" s="120"/>
      <c r="J53" s="120"/>
    </row>
    <row r="54" spans="1:10" ht="12.75" customHeight="1">
      <c r="A54" s="43" t="s">
        <v>407</v>
      </c>
      <c r="B54" s="43" t="s">
        <v>48</v>
      </c>
      <c r="C54" s="43" t="s">
        <v>22</v>
      </c>
      <c r="D54" s="43" t="s">
        <v>113</v>
      </c>
      <c r="E54" s="43" t="s">
        <v>408</v>
      </c>
      <c r="F54" s="43" t="s">
        <v>409</v>
      </c>
      <c r="G54" s="43" t="s">
        <v>168</v>
      </c>
      <c r="H54" s="119" t="s">
        <v>410</v>
      </c>
      <c r="I54" s="120"/>
      <c r="J54" s="120"/>
    </row>
    <row r="55" spans="1:10" ht="12.75" customHeight="1">
      <c r="A55" s="43" t="s">
        <v>411</v>
      </c>
      <c r="B55" s="43" t="s">
        <v>48</v>
      </c>
      <c r="C55" s="43" t="s">
        <v>22</v>
      </c>
      <c r="D55" s="43" t="s">
        <v>113</v>
      </c>
      <c r="E55" s="43" t="s">
        <v>172</v>
      </c>
      <c r="F55" s="43" t="s">
        <v>412</v>
      </c>
      <c r="G55" s="43" t="s">
        <v>174</v>
      </c>
      <c r="H55" s="119" t="s">
        <v>413</v>
      </c>
      <c r="I55" s="57"/>
      <c r="J55" s="57"/>
    </row>
    <row r="56" spans="1:10" ht="12.75" customHeight="1">
      <c r="A56" s="43" t="s">
        <v>414</v>
      </c>
      <c r="B56" s="43" t="s">
        <v>48</v>
      </c>
      <c r="C56" s="43" t="s">
        <v>22</v>
      </c>
      <c r="D56" s="43" t="s">
        <v>113</v>
      </c>
      <c r="E56" s="43" t="s">
        <v>415</v>
      </c>
      <c r="F56" s="43" t="s">
        <v>416</v>
      </c>
      <c r="G56" s="43" t="s">
        <v>417</v>
      </c>
      <c r="H56" s="118" t="s">
        <v>418</v>
      </c>
      <c r="I56" s="120"/>
      <c r="J56" s="120"/>
    </row>
    <row r="57" spans="1:10" ht="12.75" customHeight="1">
      <c r="A57" s="43" t="s">
        <v>419</v>
      </c>
      <c r="B57" s="43" t="s">
        <v>48</v>
      </c>
      <c r="C57" s="43" t="s">
        <v>22</v>
      </c>
      <c r="D57" s="43" t="s">
        <v>113</v>
      </c>
      <c r="E57" s="43" t="s">
        <v>420</v>
      </c>
      <c r="F57" s="43" t="s">
        <v>421</v>
      </c>
      <c r="G57" s="43" t="s">
        <v>422</v>
      </c>
      <c r="H57" s="118" t="s">
        <v>423</v>
      </c>
      <c r="I57" s="120"/>
      <c r="J57" s="120"/>
    </row>
    <row r="58" spans="1:10" ht="12.75" customHeight="1">
      <c r="A58" s="43" t="s">
        <v>424</v>
      </c>
      <c r="B58" s="43" t="s">
        <v>48</v>
      </c>
      <c r="C58" s="43" t="s">
        <v>22</v>
      </c>
      <c r="D58" s="43" t="s">
        <v>178</v>
      </c>
      <c r="E58" s="43" t="s">
        <v>425</v>
      </c>
      <c r="F58" s="43" t="s">
        <v>426</v>
      </c>
      <c r="G58" s="43" t="s">
        <v>427</v>
      </c>
      <c r="H58" s="118" t="s">
        <v>428</v>
      </c>
      <c r="I58" s="120"/>
      <c r="J58" s="43"/>
    </row>
    <row r="59" spans="1:10" ht="12.75" customHeight="1">
      <c r="A59" s="43" t="s">
        <v>429</v>
      </c>
      <c r="B59" s="43" t="s">
        <v>48</v>
      </c>
      <c r="C59" s="43" t="s">
        <v>22</v>
      </c>
      <c r="D59" s="43" t="s">
        <v>178</v>
      </c>
      <c r="E59" s="43" t="s">
        <v>430</v>
      </c>
      <c r="F59" s="43" t="s">
        <v>431</v>
      </c>
      <c r="G59" s="43" t="s">
        <v>432</v>
      </c>
      <c r="H59" s="118" t="s">
        <v>433</v>
      </c>
      <c r="I59" s="120"/>
      <c r="J59" s="43"/>
    </row>
    <row r="60" spans="1:10" ht="25.5" customHeight="1">
      <c r="A60" s="43" t="s">
        <v>434</v>
      </c>
      <c r="B60" s="43" t="s">
        <v>48</v>
      </c>
      <c r="C60" s="43" t="s">
        <v>22</v>
      </c>
      <c r="D60" s="46" t="s">
        <v>435</v>
      </c>
      <c r="E60" s="43" t="s">
        <v>436</v>
      </c>
      <c r="F60" s="43" t="s">
        <v>437</v>
      </c>
      <c r="G60" s="43" t="s">
        <v>438</v>
      </c>
      <c r="H60" s="119"/>
      <c r="I60" s="57"/>
      <c r="J60" s="121"/>
    </row>
    <row r="61" spans="1:10" ht="25.5" customHeight="1">
      <c r="A61" s="43" t="s">
        <v>439</v>
      </c>
      <c r="B61" s="43" t="s">
        <v>48</v>
      </c>
      <c r="C61" s="43" t="s">
        <v>22</v>
      </c>
      <c r="D61" s="46" t="s">
        <v>435</v>
      </c>
      <c r="E61" s="43" t="s">
        <v>440</v>
      </c>
      <c r="F61" s="43" t="s">
        <v>441</v>
      </c>
      <c r="G61" s="43" t="s">
        <v>442</v>
      </c>
      <c r="H61" s="119"/>
      <c r="I61" s="57"/>
      <c r="J61" s="121"/>
    </row>
    <row r="62" spans="1:10" ht="25.5" customHeight="1">
      <c r="A62" s="43" t="s">
        <v>443</v>
      </c>
      <c r="B62" s="43" t="s">
        <v>48</v>
      </c>
      <c r="C62" s="43" t="s">
        <v>22</v>
      </c>
      <c r="D62" s="46" t="s">
        <v>435</v>
      </c>
      <c r="E62" s="43" t="s">
        <v>444</v>
      </c>
      <c r="F62" s="43" t="s">
        <v>445</v>
      </c>
      <c r="G62" s="43" t="s">
        <v>446</v>
      </c>
      <c r="H62" s="119"/>
      <c r="I62" s="57"/>
      <c r="J62" s="57"/>
    </row>
    <row r="63" spans="1:10" ht="25.5" customHeight="1">
      <c r="A63" s="43" t="s">
        <v>447</v>
      </c>
      <c r="B63" s="43" t="s">
        <v>48</v>
      </c>
      <c r="C63" s="43" t="s">
        <v>22</v>
      </c>
      <c r="D63" s="46" t="s">
        <v>435</v>
      </c>
      <c r="E63" s="43" t="s">
        <v>448</v>
      </c>
      <c r="F63" s="43" t="s">
        <v>449</v>
      </c>
      <c r="G63" s="43" t="s">
        <v>450</v>
      </c>
      <c r="H63" s="119"/>
      <c r="I63" s="69"/>
      <c r="J63" s="57"/>
    </row>
    <row r="64" spans="1:10" ht="25.5" customHeight="1">
      <c r="A64" s="43" t="s">
        <v>451</v>
      </c>
      <c r="B64" s="43" t="s">
        <v>48</v>
      </c>
      <c r="C64" s="43" t="s">
        <v>22</v>
      </c>
      <c r="D64" s="46" t="s">
        <v>435</v>
      </c>
      <c r="E64" s="43" t="s">
        <v>452</v>
      </c>
      <c r="F64" s="43" t="s">
        <v>453</v>
      </c>
      <c r="G64" s="43" t="s">
        <v>454</v>
      </c>
      <c r="H64" s="119"/>
      <c r="I64" s="69"/>
      <c r="J64" s="57"/>
    </row>
    <row r="65" spans="1:10" ht="25.5" customHeight="1">
      <c r="A65" s="43" t="s">
        <v>455</v>
      </c>
      <c r="B65" s="43" t="s">
        <v>48</v>
      </c>
      <c r="C65" s="43" t="s">
        <v>22</v>
      </c>
      <c r="D65" s="46" t="s">
        <v>435</v>
      </c>
      <c r="E65" s="43" t="s">
        <v>456</v>
      </c>
      <c r="F65" s="43" t="s">
        <v>457</v>
      </c>
      <c r="G65" s="43" t="s">
        <v>458</v>
      </c>
      <c r="H65" s="119"/>
      <c r="I65" s="122"/>
      <c r="J65" s="57"/>
    </row>
    <row r="66" spans="1:10" ht="12.75" customHeight="1">
      <c r="A66" s="43" t="s">
        <v>459</v>
      </c>
      <c r="B66" s="43" t="s">
        <v>48</v>
      </c>
      <c r="C66" s="43" t="s">
        <v>22</v>
      </c>
      <c r="D66" s="43" t="s">
        <v>460</v>
      </c>
      <c r="E66" s="43" t="s">
        <v>461</v>
      </c>
      <c r="F66" s="43" t="s">
        <v>462</v>
      </c>
      <c r="G66" s="43" t="s">
        <v>463</v>
      </c>
      <c r="H66" s="46" t="s">
        <v>464</v>
      </c>
      <c r="I66" s="72"/>
      <c r="J66" s="72"/>
    </row>
    <row r="67" spans="1:10" ht="12.75" customHeight="1">
      <c r="A67" s="43" t="s">
        <v>465</v>
      </c>
      <c r="B67" s="43" t="s">
        <v>48</v>
      </c>
      <c r="C67" s="43" t="s">
        <v>22</v>
      </c>
      <c r="D67" s="43" t="s">
        <v>466</v>
      </c>
      <c r="E67" s="43" t="s">
        <v>467</v>
      </c>
      <c r="F67" s="43" t="s">
        <v>468</v>
      </c>
      <c r="G67" s="43" t="s">
        <v>469</v>
      </c>
      <c r="H67" s="118" t="s">
        <v>470</v>
      </c>
      <c r="I67" s="205"/>
      <c r="J67" s="199"/>
    </row>
    <row r="68" spans="1:10" ht="25.5" customHeight="1">
      <c r="A68" s="43" t="s">
        <v>471</v>
      </c>
      <c r="B68" s="43" t="s">
        <v>48</v>
      </c>
      <c r="C68" s="43" t="s">
        <v>22</v>
      </c>
      <c r="D68" s="46" t="s">
        <v>435</v>
      </c>
      <c r="E68" s="43" t="s">
        <v>472</v>
      </c>
      <c r="F68" s="43" t="s">
        <v>473</v>
      </c>
      <c r="G68" s="46" t="s">
        <v>474</v>
      </c>
      <c r="H68" s="119"/>
      <c r="I68" s="57"/>
      <c r="J68" s="57"/>
    </row>
    <row r="69" spans="1:10" ht="25.5" customHeight="1">
      <c r="A69" s="43" t="s">
        <v>475</v>
      </c>
      <c r="B69" s="43" t="s">
        <v>48</v>
      </c>
      <c r="C69" s="43" t="s">
        <v>22</v>
      </c>
      <c r="D69" s="46" t="s">
        <v>435</v>
      </c>
      <c r="E69" s="43" t="s">
        <v>476</v>
      </c>
      <c r="F69" s="43" t="s">
        <v>477</v>
      </c>
      <c r="G69" s="43" t="s">
        <v>478</v>
      </c>
      <c r="H69" s="119"/>
      <c r="I69" s="57"/>
      <c r="J69" s="57"/>
    </row>
    <row r="70" spans="1:10" ht="25.5" customHeight="1">
      <c r="A70" s="43" t="s">
        <v>479</v>
      </c>
      <c r="B70" s="43" t="s">
        <v>48</v>
      </c>
      <c r="C70" s="43" t="s">
        <v>22</v>
      </c>
      <c r="D70" s="46" t="s">
        <v>435</v>
      </c>
      <c r="E70" s="43" t="s">
        <v>480</v>
      </c>
      <c r="F70" s="43" t="s">
        <v>481</v>
      </c>
      <c r="G70" s="43" t="s">
        <v>482</v>
      </c>
      <c r="H70" s="119"/>
      <c r="I70" s="57"/>
      <c r="J70" s="57"/>
    </row>
    <row r="71" spans="1:10" ht="33" customHeight="1">
      <c r="A71" s="43" t="s">
        <v>483</v>
      </c>
      <c r="B71" s="43" t="s">
        <v>48</v>
      </c>
      <c r="C71" s="43" t="s">
        <v>22</v>
      </c>
      <c r="D71" s="163" t="s">
        <v>484</v>
      </c>
      <c r="E71" s="164" t="s">
        <v>485</v>
      </c>
      <c r="F71" s="165" t="s">
        <v>486</v>
      </c>
      <c r="G71" s="166" t="s">
        <v>487</v>
      </c>
      <c r="H71" s="167" t="s">
        <v>488</v>
      </c>
      <c r="I71" s="204"/>
      <c r="J71" s="100"/>
    </row>
    <row r="72" spans="1:10" ht="12.75" customHeight="1">
      <c r="A72" s="43"/>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80"/>
  <sheetViews>
    <sheetView zoomScale="90" zoomScaleNormal="90" workbookViewId="0">
      <selection activeCell="I2" sqref="I2:J80"/>
    </sheetView>
  </sheetViews>
  <sheetFormatPr defaultColWidth="14" defaultRowHeight="48" customHeight="1"/>
  <cols>
    <col min="1" max="1" width="7.7109375" style="109" bestFit="1" customWidth="1"/>
    <col min="2" max="2" width="10.85546875" style="109" bestFit="1" customWidth="1"/>
    <col min="3" max="3" width="13.140625" style="109" bestFit="1" customWidth="1"/>
    <col min="4" max="4" width="17.85546875" style="74" customWidth="1"/>
    <col min="5" max="5" width="26.85546875" style="109" customWidth="1"/>
    <col min="6" max="6" width="34.42578125" style="74" customWidth="1"/>
    <col min="7" max="7" width="32.42578125" style="74" customWidth="1"/>
    <col min="8" max="8" width="14" style="109" customWidth="1"/>
    <col min="9" max="9" width="7.85546875" style="1" bestFit="1" customWidth="1"/>
    <col min="10" max="10" width="14" style="1" customWidth="1"/>
    <col min="11" max="15" width="14" style="109" customWidth="1"/>
    <col min="16" max="16384" width="14" style="109"/>
  </cols>
  <sheetData>
    <row r="1" spans="1:10" ht="48" customHeight="1">
      <c r="A1" s="137" t="s">
        <v>37</v>
      </c>
      <c r="B1" s="137" t="s">
        <v>38</v>
      </c>
      <c r="C1" s="137" t="s">
        <v>39</v>
      </c>
      <c r="D1" s="137" t="s">
        <v>40</v>
      </c>
      <c r="E1" s="24" t="s">
        <v>41</v>
      </c>
      <c r="F1" s="24" t="s">
        <v>42</v>
      </c>
      <c r="G1" s="25" t="s">
        <v>43</v>
      </c>
      <c r="H1" s="110" t="s">
        <v>44</v>
      </c>
      <c r="I1" s="138" t="s">
        <v>45</v>
      </c>
      <c r="J1" s="138" t="s">
        <v>46</v>
      </c>
    </row>
    <row r="2" spans="1:10" ht="48" customHeight="1">
      <c r="A2" s="7" t="s">
        <v>47</v>
      </c>
      <c r="B2" s="7" t="s">
        <v>48</v>
      </c>
      <c r="C2" s="7" t="s">
        <v>489</v>
      </c>
      <c r="D2" s="9" t="s">
        <v>490</v>
      </c>
      <c r="E2" s="9" t="s">
        <v>491</v>
      </c>
      <c r="F2" s="9" t="s">
        <v>492</v>
      </c>
      <c r="G2" s="9" t="s">
        <v>493</v>
      </c>
      <c r="H2" s="9" t="s">
        <v>494</v>
      </c>
      <c r="I2" s="57"/>
      <c r="J2" s="160"/>
    </row>
    <row r="3" spans="1:10" ht="48" customHeight="1">
      <c r="A3" s="7" t="s">
        <v>55</v>
      </c>
      <c r="B3" s="7" t="s">
        <v>48</v>
      </c>
      <c r="C3" s="7" t="s">
        <v>489</v>
      </c>
      <c r="D3" s="9" t="s">
        <v>495</v>
      </c>
      <c r="E3" s="9" t="s">
        <v>496</v>
      </c>
      <c r="F3" s="9" t="s">
        <v>497</v>
      </c>
      <c r="G3" s="9" t="s">
        <v>498</v>
      </c>
      <c r="H3" s="9" t="s">
        <v>499</v>
      </c>
      <c r="I3" s="57"/>
      <c r="J3" s="89"/>
    </row>
    <row r="4" spans="1:10" ht="48" customHeight="1">
      <c r="A4" s="7" t="s">
        <v>60</v>
      </c>
      <c r="B4" s="7" t="s">
        <v>48</v>
      </c>
      <c r="C4" s="7" t="s">
        <v>489</v>
      </c>
      <c r="D4" s="9" t="s">
        <v>500</v>
      </c>
      <c r="E4" s="9" t="s">
        <v>501</v>
      </c>
      <c r="F4" s="9" t="s">
        <v>502</v>
      </c>
      <c r="G4" s="9" t="s">
        <v>503</v>
      </c>
      <c r="H4" s="9" t="s">
        <v>504</v>
      </c>
      <c r="I4" s="57"/>
      <c r="J4" s="160"/>
    </row>
    <row r="5" spans="1:10" ht="48" customHeight="1">
      <c r="A5" s="7" t="s">
        <v>65</v>
      </c>
      <c r="B5" s="7" t="s">
        <v>48</v>
      </c>
      <c r="C5" s="7" t="s">
        <v>489</v>
      </c>
      <c r="D5" s="160" t="s">
        <v>505</v>
      </c>
      <c r="E5" s="160" t="s">
        <v>506</v>
      </c>
      <c r="F5" s="160" t="s">
        <v>507</v>
      </c>
      <c r="G5" s="160" t="s">
        <v>508</v>
      </c>
      <c r="H5" s="160" t="s">
        <v>509</v>
      </c>
      <c r="I5" s="57"/>
      <c r="J5" s="160"/>
    </row>
    <row r="6" spans="1:10" ht="48" customHeight="1">
      <c r="A6" s="7" t="s">
        <v>70</v>
      </c>
      <c r="B6" s="7" t="s">
        <v>48</v>
      </c>
      <c r="C6" s="7" t="s">
        <v>489</v>
      </c>
      <c r="D6" s="160" t="s">
        <v>505</v>
      </c>
      <c r="E6" s="160" t="s">
        <v>510</v>
      </c>
      <c r="F6" s="160" t="s">
        <v>511</v>
      </c>
      <c r="G6" s="160" t="s">
        <v>512</v>
      </c>
      <c r="H6" s="160" t="s">
        <v>513</v>
      </c>
      <c r="I6" s="57"/>
      <c r="J6" s="160"/>
    </row>
    <row r="7" spans="1:10" ht="48" customHeight="1">
      <c r="A7" s="7" t="s">
        <v>74</v>
      </c>
      <c r="B7" s="7" t="s">
        <v>48</v>
      </c>
      <c r="C7" s="7" t="s">
        <v>489</v>
      </c>
      <c r="D7" s="160" t="s">
        <v>505</v>
      </c>
      <c r="E7" s="9" t="s">
        <v>514</v>
      </c>
      <c r="F7" s="9" t="s">
        <v>515</v>
      </c>
      <c r="G7" s="9" t="s">
        <v>516</v>
      </c>
      <c r="H7" s="160" t="s">
        <v>517</v>
      </c>
      <c r="I7" s="213"/>
      <c r="J7" s="89"/>
    </row>
    <row r="8" spans="1:10" ht="48" customHeight="1">
      <c r="A8" s="7" t="s">
        <v>79</v>
      </c>
      <c r="B8" s="7" t="s">
        <v>48</v>
      </c>
      <c r="C8" s="7" t="s">
        <v>489</v>
      </c>
      <c r="D8" s="160" t="s">
        <v>505</v>
      </c>
      <c r="E8" s="9" t="s">
        <v>518</v>
      </c>
      <c r="F8" s="9" t="s">
        <v>519</v>
      </c>
      <c r="G8" s="33" t="s">
        <v>520</v>
      </c>
      <c r="H8" s="33" t="s">
        <v>521</v>
      </c>
      <c r="I8" s="214"/>
      <c r="J8" s="34"/>
    </row>
    <row r="9" spans="1:10" ht="48" customHeight="1">
      <c r="A9" s="7" t="s">
        <v>84</v>
      </c>
      <c r="B9" s="7" t="s">
        <v>48</v>
      </c>
      <c r="C9" s="7" t="s">
        <v>489</v>
      </c>
      <c r="D9" s="160" t="s">
        <v>505</v>
      </c>
      <c r="E9" s="9" t="s">
        <v>522</v>
      </c>
      <c r="F9" s="31" t="s">
        <v>523</v>
      </c>
      <c r="G9" s="80" t="s">
        <v>524</v>
      </c>
      <c r="H9" s="80" t="s">
        <v>525</v>
      </c>
      <c r="I9" s="171"/>
      <c r="J9" s="112"/>
    </row>
    <row r="10" spans="1:10" ht="48" customHeight="1">
      <c r="A10" s="7" t="s">
        <v>89</v>
      </c>
      <c r="B10" s="7" t="s">
        <v>48</v>
      </c>
      <c r="C10" s="7" t="s">
        <v>489</v>
      </c>
      <c r="D10" s="160" t="s">
        <v>505</v>
      </c>
      <c r="E10" s="9" t="s">
        <v>526</v>
      </c>
      <c r="F10" s="31" t="s">
        <v>527</v>
      </c>
      <c r="G10" s="80" t="s">
        <v>528</v>
      </c>
      <c r="H10" s="80" t="s">
        <v>529</v>
      </c>
      <c r="I10" s="171"/>
      <c r="J10" s="113"/>
    </row>
    <row r="11" spans="1:10" ht="48" customHeight="1">
      <c r="A11" s="7" t="s">
        <v>94</v>
      </c>
      <c r="B11" s="7" t="s">
        <v>48</v>
      </c>
      <c r="C11" s="7" t="s">
        <v>489</v>
      </c>
      <c r="D11" s="160" t="s">
        <v>505</v>
      </c>
      <c r="E11" s="9" t="s">
        <v>530</v>
      </c>
      <c r="F11" s="9" t="s">
        <v>531</v>
      </c>
      <c r="G11" s="111" t="s">
        <v>532</v>
      </c>
      <c r="H11" s="111" t="s">
        <v>533</v>
      </c>
      <c r="I11" s="201"/>
      <c r="J11" s="107"/>
    </row>
    <row r="12" spans="1:10" ht="48" customHeight="1">
      <c r="A12" s="7" t="s">
        <v>99</v>
      </c>
      <c r="B12" s="7" t="s">
        <v>48</v>
      </c>
      <c r="C12" s="7" t="s">
        <v>489</v>
      </c>
      <c r="D12" s="160" t="s">
        <v>505</v>
      </c>
      <c r="E12" s="9" t="s">
        <v>534</v>
      </c>
      <c r="F12" s="9" t="s">
        <v>523</v>
      </c>
      <c r="G12" s="9" t="s">
        <v>535</v>
      </c>
      <c r="H12" s="9" t="s">
        <v>536</v>
      </c>
      <c r="I12" s="196"/>
      <c r="J12" s="9"/>
    </row>
    <row r="13" spans="1:10" ht="48" customHeight="1">
      <c r="A13" s="7" t="s">
        <v>103</v>
      </c>
      <c r="B13" s="7" t="s">
        <v>48</v>
      </c>
      <c r="C13" s="7" t="s">
        <v>489</v>
      </c>
      <c r="D13" s="160" t="s">
        <v>505</v>
      </c>
      <c r="E13" s="9" t="s">
        <v>537</v>
      </c>
      <c r="F13" s="9" t="s">
        <v>538</v>
      </c>
      <c r="G13" s="9" t="s">
        <v>539</v>
      </c>
      <c r="H13" s="9" t="s">
        <v>540</v>
      </c>
      <c r="I13" s="196"/>
      <c r="J13" s="160"/>
    </row>
    <row r="14" spans="1:10" ht="48" customHeight="1">
      <c r="A14" s="7" t="s">
        <v>108</v>
      </c>
      <c r="B14" s="7" t="s">
        <v>48</v>
      </c>
      <c r="C14" s="7" t="s">
        <v>489</v>
      </c>
      <c r="D14" s="160" t="s">
        <v>505</v>
      </c>
      <c r="E14" s="9" t="s">
        <v>541</v>
      </c>
      <c r="F14" s="9" t="s">
        <v>542</v>
      </c>
      <c r="G14" s="9" t="s">
        <v>543</v>
      </c>
      <c r="H14" s="9" t="s">
        <v>544</v>
      </c>
      <c r="I14" s="196"/>
      <c r="J14" s="160"/>
    </row>
    <row r="15" spans="1:10" ht="48" customHeight="1">
      <c r="A15" s="7" t="s">
        <v>112</v>
      </c>
      <c r="B15" s="7" t="s">
        <v>48</v>
      </c>
      <c r="C15" s="7" t="s">
        <v>489</v>
      </c>
      <c r="D15" s="160" t="s">
        <v>505</v>
      </c>
      <c r="E15" s="9" t="s">
        <v>545</v>
      </c>
      <c r="F15" s="9" t="s">
        <v>546</v>
      </c>
      <c r="G15" s="9" t="s">
        <v>547</v>
      </c>
      <c r="H15" s="9" t="s">
        <v>548</v>
      </c>
      <c r="I15" s="196"/>
      <c r="J15" s="114"/>
    </row>
    <row r="16" spans="1:10" ht="48" customHeight="1">
      <c r="A16" s="7" t="s">
        <v>118</v>
      </c>
      <c r="B16" s="7" t="s">
        <v>48</v>
      </c>
      <c r="C16" s="7" t="s">
        <v>489</v>
      </c>
      <c r="D16" s="160" t="s">
        <v>505</v>
      </c>
      <c r="E16" s="9" t="s">
        <v>549</v>
      </c>
      <c r="F16" s="9" t="s">
        <v>523</v>
      </c>
      <c r="G16" s="9" t="s">
        <v>550</v>
      </c>
      <c r="H16" s="9" t="s">
        <v>551</v>
      </c>
      <c r="I16" s="196"/>
      <c r="J16" s="114"/>
    </row>
    <row r="17" spans="1:10" ht="48" customHeight="1">
      <c r="A17" s="7" t="s">
        <v>124</v>
      </c>
      <c r="B17" s="7" t="s">
        <v>48</v>
      </c>
      <c r="C17" s="7" t="s">
        <v>489</v>
      </c>
      <c r="D17" s="160" t="s">
        <v>505</v>
      </c>
      <c r="E17" s="9" t="s">
        <v>552</v>
      </c>
      <c r="F17" s="9" t="s">
        <v>527</v>
      </c>
      <c r="G17" s="9" t="s">
        <v>553</v>
      </c>
      <c r="H17" s="9" t="s">
        <v>554</v>
      </c>
      <c r="I17" s="196"/>
      <c r="J17" s="114"/>
    </row>
    <row r="18" spans="1:10" ht="48" customHeight="1">
      <c r="A18" s="7" t="s">
        <v>129</v>
      </c>
      <c r="B18" s="7" t="s">
        <v>48</v>
      </c>
      <c r="C18" s="7" t="s">
        <v>489</v>
      </c>
      <c r="D18" s="160" t="s">
        <v>505</v>
      </c>
      <c r="E18" s="9" t="s">
        <v>555</v>
      </c>
      <c r="F18" s="9" t="s">
        <v>527</v>
      </c>
      <c r="G18" s="9" t="s">
        <v>556</v>
      </c>
      <c r="H18" s="9" t="s">
        <v>557</v>
      </c>
      <c r="I18" s="196"/>
      <c r="J18" s="114"/>
    </row>
    <row r="19" spans="1:10" ht="48" customHeight="1">
      <c r="A19" s="7" t="s">
        <v>133</v>
      </c>
      <c r="B19" s="7" t="s">
        <v>48</v>
      </c>
      <c r="C19" s="7" t="s">
        <v>489</v>
      </c>
      <c r="D19" s="160" t="s">
        <v>505</v>
      </c>
      <c r="E19" s="9" t="s">
        <v>558</v>
      </c>
      <c r="F19" s="9" t="s">
        <v>559</v>
      </c>
      <c r="G19" s="9" t="s">
        <v>560</v>
      </c>
      <c r="H19" s="9" t="s">
        <v>561</v>
      </c>
      <c r="I19" s="196"/>
      <c r="J19" s="9"/>
    </row>
    <row r="20" spans="1:10" ht="48" customHeight="1">
      <c r="A20" s="7" t="s">
        <v>137</v>
      </c>
      <c r="B20" s="7" t="s">
        <v>48</v>
      </c>
      <c r="C20" s="7" t="s">
        <v>489</v>
      </c>
      <c r="D20" s="160" t="s">
        <v>505</v>
      </c>
      <c r="E20" s="9" t="s">
        <v>562</v>
      </c>
      <c r="F20" s="9" t="s">
        <v>563</v>
      </c>
      <c r="G20" s="9" t="s">
        <v>564</v>
      </c>
      <c r="H20" s="9" t="s">
        <v>565</v>
      </c>
      <c r="I20" s="196"/>
      <c r="J20" s="9"/>
    </row>
    <row r="21" spans="1:10" ht="48" customHeight="1">
      <c r="A21" s="7" t="s">
        <v>142</v>
      </c>
      <c r="B21" s="7" t="s">
        <v>48</v>
      </c>
      <c r="C21" s="7" t="s">
        <v>489</v>
      </c>
      <c r="D21" s="160" t="s">
        <v>505</v>
      </c>
      <c r="E21" s="9" t="s">
        <v>566</v>
      </c>
      <c r="F21" s="9" t="s">
        <v>567</v>
      </c>
      <c r="G21" s="9" t="s">
        <v>568</v>
      </c>
      <c r="H21" s="9" t="s">
        <v>569</v>
      </c>
      <c r="I21" s="196"/>
      <c r="J21" s="9"/>
    </row>
    <row r="22" spans="1:10" ht="48" customHeight="1">
      <c r="A22" s="7" t="s">
        <v>146</v>
      </c>
      <c r="B22" s="7" t="s">
        <v>48</v>
      </c>
      <c r="C22" s="7" t="s">
        <v>489</v>
      </c>
      <c r="D22" s="160" t="s">
        <v>505</v>
      </c>
      <c r="E22" s="9" t="s">
        <v>570</v>
      </c>
      <c r="F22" s="9" t="s">
        <v>571</v>
      </c>
      <c r="G22" s="9" t="s">
        <v>572</v>
      </c>
      <c r="H22" s="9" t="s">
        <v>573</v>
      </c>
      <c r="I22" s="202"/>
      <c r="J22" s="33"/>
    </row>
    <row r="23" spans="1:10" ht="48" customHeight="1">
      <c r="A23" s="7" t="s">
        <v>151</v>
      </c>
      <c r="B23" s="7" t="s">
        <v>48</v>
      </c>
      <c r="C23" s="7" t="s">
        <v>489</v>
      </c>
      <c r="D23" s="160" t="s">
        <v>505</v>
      </c>
      <c r="E23" s="9" t="s">
        <v>574</v>
      </c>
      <c r="F23" s="9" t="s">
        <v>575</v>
      </c>
      <c r="G23" s="9" t="s">
        <v>576</v>
      </c>
      <c r="H23" s="31" t="s">
        <v>577</v>
      </c>
      <c r="I23" s="57"/>
      <c r="J23" s="85"/>
    </row>
    <row r="24" spans="1:10" ht="48" customHeight="1">
      <c r="A24" s="7" t="s">
        <v>154</v>
      </c>
      <c r="B24" s="7" t="s">
        <v>48</v>
      </c>
      <c r="C24" s="7" t="s">
        <v>489</v>
      </c>
      <c r="D24" s="160" t="s">
        <v>505</v>
      </c>
      <c r="E24" s="9" t="s">
        <v>578</v>
      </c>
      <c r="F24" s="9" t="s">
        <v>579</v>
      </c>
      <c r="G24" s="9" t="s">
        <v>580</v>
      </c>
      <c r="H24" s="9" t="s">
        <v>581</v>
      </c>
      <c r="I24" s="215"/>
      <c r="J24" s="111"/>
    </row>
    <row r="25" spans="1:10" ht="48" customHeight="1">
      <c r="A25" s="7" t="s">
        <v>158</v>
      </c>
      <c r="B25" s="7" t="s">
        <v>48</v>
      </c>
      <c r="C25" s="7" t="s">
        <v>489</v>
      </c>
      <c r="D25" s="160" t="s">
        <v>505</v>
      </c>
      <c r="E25" s="9" t="s">
        <v>582</v>
      </c>
      <c r="F25" s="9" t="s">
        <v>583</v>
      </c>
      <c r="G25" s="9" t="s">
        <v>584</v>
      </c>
      <c r="H25" s="9" t="s">
        <v>585</v>
      </c>
      <c r="I25" s="196"/>
      <c r="J25" s="9"/>
    </row>
    <row r="26" spans="1:10" ht="48" customHeight="1">
      <c r="A26" s="7" t="s">
        <v>164</v>
      </c>
      <c r="B26" s="7" t="s">
        <v>48</v>
      </c>
      <c r="C26" s="7" t="s">
        <v>489</v>
      </c>
      <c r="D26" s="160" t="s">
        <v>505</v>
      </c>
      <c r="E26" s="9" t="s">
        <v>586</v>
      </c>
      <c r="F26" s="9" t="s">
        <v>587</v>
      </c>
      <c r="G26" s="9" t="s">
        <v>588</v>
      </c>
      <c r="H26" s="9" t="s">
        <v>589</v>
      </c>
      <c r="I26" s="196"/>
      <c r="J26" s="9"/>
    </row>
    <row r="27" spans="1:10" ht="48" customHeight="1">
      <c r="A27" s="7" t="s">
        <v>170</v>
      </c>
      <c r="B27" s="7" t="s">
        <v>48</v>
      </c>
      <c r="C27" s="7" t="s">
        <v>489</v>
      </c>
      <c r="D27" s="160" t="s">
        <v>505</v>
      </c>
      <c r="E27" s="9" t="s">
        <v>590</v>
      </c>
      <c r="F27" s="9" t="s">
        <v>591</v>
      </c>
      <c r="G27" s="9" t="s">
        <v>592</v>
      </c>
      <c r="H27" s="9" t="s">
        <v>593</v>
      </c>
      <c r="I27" s="196"/>
      <c r="J27" s="9"/>
    </row>
    <row r="28" spans="1:10" ht="48" customHeight="1">
      <c r="A28" s="7" t="s">
        <v>283</v>
      </c>
      <c r="B28" s="7" t="s">
        <v>48</v>
      </c>
      <c r="C28" s="7" t="s">
        <v>489</v>
      </c>
      <c r="D28" s="160" t="s">
        <v>505</v>
      </c>
      <c r="E28" s="9" t="s">
        <v>594</v>
      </c>
      <c r="F28" s="9" t="s">
        <v>595</v>
      </c>
      <c r="G28" s="9" t="s">
        <v>596</v>
      </c>
      <c r="H28" s="9" t="s">
        <v>597</v>
      </c>
      <c r="I28" s="196"/>
      <c r="J28" s="9"/>
    </row>
    <row r="29" spans="1:10" ht="48" customHeight="1">
      <c r="A29" s="7" t="s">
        <v>288</v>
      </c>
      <c r="B29" s="7" t="s">
        <v>48</v>
      </c>
      <c r="C29" s="7" t="s">
        <v>489</v>
      </c>
      <c r="D29" s="9" t="s">
        <v>598</v>
      </c>
      <c r="E29" s="9" t="s">
        <v>599</v>
      </c>
      <c r="F29" s="9" t="s">
        <v>600</v>
      </c>
      <c r="G29" s="9" t="s">
        <v>601</v>
      </c>
      <c r="H29" s="9" t="s">
        <v>602</v>
      </c>
      <c r="I29" s="196"/>
      <c r="J29" s="9"/>
    </row>
    <row r="30" spans="1:10" ht="48" customHeight="1">
      <c r="A30" s="7" t="s">
        <v>293</v>
      </c>
      <c r="B30" s="7" t="s">
        <v>48</v>
      </c>
      <c r="C30" s="7" t="s">
        <v>489</v>
      </c>
      <c r="D30" s="9" t="s">
        <v>598</v>
      </c>
      <c r="E30" s="9" t="s">
        <v>603</v>
      </c>
      <c r="F30" s="9" t="s">
        <v>604</v>
      </c>
      <c r="G30" s="9" t="s">
        <v>605</v>
      </c>
      <c r="H30" s="9" t="s">
        <v>606</v>
      </c>
      <c r="I30" s="196"/>
      <c r="J30" s="9"/>
    </row>
    <row r="31" spans="1:10" ht="48" customHeight="1">
      <c r="A31" s="7" t="s">
        <v>298</v>
      </c>
      <c r="B31" s="7" t="s">
        <v>48</v>
      </c>
      <c r="C31" s="7" t="s">
        <v>489</v>
      </c>
      <c r="D31" s="9" t="s">
        <v>598</v>
      </c>
      <c r="E31" s="9" t="s">
        <v>607</v>
      </c>
      <c r="F31" s="9" t="s">
        <v>608</v>
      </c>
      <c r="G31" s="9" t="s">
        <v>609</v>
      </c>
      <c r="H31" s="9" t="s">
        <v>610</v>
      </c>
      <c r="I31" s="196"/>
      <c r="J31" s="9"/>
    </row>
    <row r="32" spans="1:10" ht="48" customHeight="1">
      <c r="A32" s="7" t="s">
        <v>303</v>
      </c>
      <c r="B32" s="7" t="s">
        <v>48</v>
      </c>
      <c r="C32" s="7" t="s">
        <v>489</v>
      </c>
      <c r="D32" s="9" t="s">
        <v>598</v>
      </c>
      <c r="E32" s="9" t="s">
        <v>611</v>
      </c>
      <c r="F32" s="9" t="s">
        <v>612</v>
      </c>
      <c r="G32" s="9" t="s">
        <v>609</v>
      </c>
      <c r="H32" s="9" t="s">
        <v>613</v>
      </c>
      <c r="I32" s="196"/>
      <c r="J32" s="9"/>
    </row>
    <row r="33" spans="1:10" ht="48" customHeight="1">
      <c r="A33" s="7" t="s">
        <v>308</v>
      </c>
      <c r="B33" s="7" t="s">
        <v>48</v>
      </c>
      <c r="C33" s="7" t="s">
        <v>489</v>
      </c>
      <c r="D33" s="9" t="s">
        <v>598</v>
      </c>
      <c r="E33" s="9" t="s">
        <v>614</v>
      </c>
      <c r="F33" s="9" t="s">
        <v>615</v>
      </c>
      <c r="G33" s="9" t="s">
        <v>616</v>
      </c>
      <c r="H33" s="9" t="s">
        <v>617</v>
      </c>
      <c r="I33" s="57"/>
      <c r="J33" s="9"/>
    </row>
    <row r="34" spans="1:10" ht="48" customHeight="1">
      <c r="A34" s="7" t="s">
        <v>313</v>
      </c>
      <c r="B34" s="7" t="s">
        <v>48</v>
      </c>
      <c r="C34" s="7" t="s">
        <v>489</v>
      </c>
      <c r="D34" s="9" t="s">
        <v>598</v>
      </c>
      <c r="E34" s="9" t="s">
        <v>618</v>
      </c>
      <c r="F34" s="9" t="s">
        <v>619</v>
      </c>
      <c r="G34" s="9" t="s">
        <v>620</v>
      </c>
      <c r="H34" s="9" t="s">
        <v>621</v>
      </c>
      <c r="I34" s="196"/>
      <c r="J34" s="9"/>
    </row>
    <row r="35" spans="1:10" ht="48" customHeight="1">
      <c r="A35" s="7" t="s">
        <v>318</v>
      </c>
      <c r="B35" s="7" t="s">
        <v>48</v>
      </c>
      <c r="C35" s="7" t="s">
        <v>489</v>
      </c>
      <c r="D35" s="9" t="s">
        <v>622</v>
      </c>
      <c r="E35" s="9" t="s">
        <v>623</v>
      </c>
      <c r="F35" s="9" t="s">
        <v>624</v>
      </c>
      <c r="G35" s="9" t="s">
        <v>625</v>
      </c>
      <c r="H35" s="9" t="s">
        <v>626</v>
      </c>
      <c r="I35" s="196"/>
      <c r="J35" s="9"/>
    </row>
    <row r="36" spans="1:10" ht="48" customHeight="1">
      <c r="A36" s="7" t="s">
        <v>323</v>
      </c>
      <c r="B36" s="7" t="s">
        <v>48</v>
      </c>
      <c r="C36" s="7" t="s">
        <v>489</v>
      </c>
      <c r="D36" s="9" t="s">
        <v>622</v>
      </c>
      <c r="E36" s="9" t="s">
        <v>627</v>
      </c>
      <c r="F36" s="9" t="s">
        <v>628</v>
      </c>
      <c r="G36" s="9" t="s">
        <v>629</v>
      </c>
      <c r="H36" s="9" t="s">
        <v>630</v>
      </c>
      <c r="I36" s="196"/>
      <c r="J36" s="9"/>
    </row>
    <row r="37" spans="1:10" ht="48" customHeight="1">
      <c r="A37" s="7" t="s">
        <v>327</v>
      </c>
      <c r="B37" s="7" t="s">
        <v>48</v>
      </c>
      <c r="C37" s="7" t="s">
        <v>489</v>
      </c>
      <c r="D37" s="9" t="s">
        <v>622</v>
      </c>
      <c r="E37" s="9" t="s">
        <v>631</v>
      </c>
      <c r="F37" s="9" t="s">
        <v>632</v>
      </c>
      <c r="G37" s="9" t="s">
        <v>629</v>
      </c>
      <c r="H37" s="9" t="s">
        <v>633</v>
      </c>
      <c r="I37" s="196"/>
      <c r="J37" s="9"/>
    </row>
    <row r="38" spans="1:10" ht="48" customHeight="1">
      <c r="A38" s="7" t="s">
        <v>333</v>
      </c>
      <c r="B38" s="7" t="s">
        <v>48</v>
      </c>
      <c r="C38" s="7" t="s">
        <v>489</v>
      </c>
      <c r="D38" s="9" t="s">
        <v>634</v>
      </c>
      <c r="E38" s="9" t="s">
        <v>635</v>
      </c>
      <c r="F38" s="9" t="s">
        <v>636</v>
      </c>
      <c r="G38" s="9" t="s">
        <v>637</v>
      </c>
      <c r="H38" s="9" t="s">
        <v>638</v>
      </c>
      <c r="I38" s="196"/>
      <c r="J38" s="9"/>
    </row>
    <row r="39" spans="1:10" ht="48" customHeight="1">
      <c r="A39" s="7" t="s">
        <v>338</v>
      </c>
      <c r="B39" s="7" t="s">
        <v>48</v>
      </c>
      <c r="C39" s="7" t="s">
        <v>489</v>
      </c>
      <c r="D39" s="9" t="s">
        <v>634</v>
      </c>
      <c r="E39" s="7" t="s">
        <v>639</v>
      </c>
      <c r="F39" s="9" t="s">
        <v>640</v>
      </c>
      <c r="G39" s="9" t="s">
        <v>641</v>
      </c>
      <c r="H39" s="9" t="s">
        <v>642</v>
      </c>
      <c r="I39" s="196"/>
      <c r="J39" s="9"/>
    </row>
    <row r="40" spans="1:10" ht="48" customHeight="1">
      <c r="A40" s="7" t="s">
        <v>343</v>
      </c>
      <c r="B40" s="7" t="s">
        <v>48</v>
      </c>
      <c r="C40" s="7" t="s">
        <v>489</v>
      </c>
      <c r="D40" s="9" t="s">
        <v>643</v>
      </c>
      <c r="E40" s="9" t="s">
        <v>644</v>
      </c>
      <c r="F40" s="9" t="s">
        <v>645</v>
      </c>
      <c r="G40" s="9" t="s">
        <v>646</v>
      </c>
      <c r="H40" s="9" t="s">
        <v>647</v>
      </c>
      <c r="I40" s="196"/>
      <c r="J40" s="9"/>
    </row>
    <row r="41" spans="1:10" ht="48" customHeight="1">
      <c r="A41" s="7" t="s">
        <v>349</v>
      </c>
      <c r="B41" s="7" t="s">
        <v>48</v>
      </c>
      <c r="C41" s="7" t="s">
        <v>489</v>
      </c>
      <c r="D41" s="9" t="s">
        <v>643</v>
      </c>
      <c r="E41" s="160" t="s">
        <v>648</v>
      </c>
      <c r="F41" s="9" t="s">
        <v>649</v>
      </c>
      <c r="G41" s="160" t="s">
        <v>650</v>
      </c>
      <c r="H41" s="160" t="s">
        <v>651</v>
      </c>
      <c r="I41" s="196"/>
      <c r="J41" s="9"/>
    </row>
    <row r="42" spans="1:10" ht="48" customHeight="1">
      <c r="A42" s="7" t="s">
        <v>354</v>
      </c>
      <c r="B42" s="7" t="s">
        <v>48</v>
      </c>
      <c r="C42" s="7" t="s">
        <v>489</v>
      </c>
      <c r="D42" s="9" t="s">
        <v>643</v>
      </c>
      <c r="E42" s="160" t="s">
        <v>652</v>
      </c>
      <c r="F42" s="9" t="s">
        <v>653</v>
      </c>
      <c r="G42" s="160" t="s">
        <v>654</v>
      </c>
      <c r="H42" s="160" t="s">
        <v>655</v>
      </c>
      <c r="I42" s="196"/>
      <c r="J42" s="160"/>
    </row>
    <row r="43" spans="1:10" ht="48" customHeight="1">
      <c r="A43" s="7" t="s">
        <v>359</v>
      </c>
      <c r="B43" s="7" t="s">
        <v>48</v>
      </c>
      <c r="C43" s="7" t="s">
        <v>489</v>
      </c>
      <c r="D43" s="9" t="s">
        <v>643</v>
      </c>
      <c r="E43" s="160" t="s">
        <v>656</v>
      </c>
      <c r="F43" s="9" t="s">
        <v>657</v>
      </c>
      <c r="G43" s="160" t="s">
        <v>658</v>
      </c>
      <c r="H43" s="160" t="s">
        <v>659</v>
      </c>
      <c r="I43" s="196"/>
      <c r="J43" s="9"/>
    </row>
    <row r="44" spans="1:10" ht="48" customHeight="1">
      <c r="A44" s="7" t="s">
        <v>363</v>
      </c>
      <c r="B44" s="7" t="s">
        <v>48</v>
      </c>
      <c r="C44" s="7" t="s">
        <v>489</v>
      </c>
      <c r="D44" s="9" t="s">
        <v>643</v>
      </c>
      <c r="E44" s="160" t="s">
        <v>660</v>
      </c>
      <c r="F44" s="9" t="s">
        <v>661</v>
      </c>
      <c r="G44" s="160" t="s">
        <v>662</v>
      </c>
      <c r="H44" s="160" t="s">
        <v>663</v>
      </c>
      <c r="I44" s="196"/>
      <c r="J44" s="9"/>
    </row>
    <row r="45" spans="1:10" ht="48" customHeight="1">
      <c r="A45" s="7" t="s">
        <v>368</v>
      </c>
      <c r="B45" s="7" t="s">
        <v>48</v>
      </c>
      <c r="C45" s="7" t="s">
        <v>489</v>
      </c>
      <c r="D45" s="9" t="s">
        <v>643</v>
      </c>
      <c r="E45" s="160" t="s">
        <v>664</v>
      </c>
      <c r="F45" s="9" t="s">
        <v>665</v>
      </c>
      <c r="G45" s="160" t="s">
        <v>662</v>
      </c>
      <c r="H45" s="160" t="s">
        <v>666</v>
      </c>
      <c r="I45" s="196"/>
      <c r="J45" s="9"/>
    </row>
    <row r="46" spans="1:10" ht="48" customHeight="1">
      <c r="A46" s="7" t="s">
        <v>372</v>
      </c>
      <c r="B46" s="7" t="s">
        <v>48</v>
      </c>
      <c r="C46" s="7" t="s">
        <v>489</v>
      </c>
      <c r="D46" s="9" t="s">
        <v>667</v>
      </c>
      <c r="E46" s="160" t="s">
        <v>668</v>
      </c>
      <c r="F46" s="9" t="s">
        <v>669</v>
      </c>
      <c r="G46" s="160" t="s">
        <v>670</v>
      </c>
      <c r="H46" s="160" t="s">
        <v>671</v>
      </c>
      <c r="I46" s="196"/>
      <c r="J46" s="9"/>
    </row>
    <row r="47" spans="1:10" ht="48" customHeight="1">
      <c r="A47" s="7" t="s">
        <v>377</v>
      </c>
      <c r="B47" s="7" t="s">
        <v>48</v>
      </c>
      <c r="C47" s="7" t="s">
        <v>489</v>
      </c>
      <c r="D47" s="9" t="s">
        <v>667</v>
      </c>
      <c r="E47" s="160" t="s">
        <v>672</v>
      </c>
      <c r="F47" s="9" t="s">
        <v>673</v>
      </c>
      <c r="G47" s="160" t="s">
        <v>674</v>
      </c>
      <c r="H47" s="160" t="s">
        <v>675</v>
      </c>
      <c r="I47" s="196"/>
      <c r="J47" s="9"/>
    </row>
    <row r="48" spans="1:10" ht="48" customHeight="1">
      <c r="A48" s="7" t="s">
        <v>382</v>
      </c>
      <c r="B48" s="7" t="s">
        <v>48</v>
      </c>
      <c r="C48" s="7" t="s">
        <v>489</v>
      </c>
      <c r="D48" s="9" t="s">
        <v>667</v>
      </c>
      <c r="E48" s="9" t="s">
        <v>676</v>
      </c>
      <c r="F48" s="9" t="s">
        <v>677</v>
      </c>
      <c r="G48" s="9" t="s">
        <v>678</v>
      </c>
      <c r="H48" s="9" t="s">
        <v>679</v>
      </c>
      <c r="I48" s="202"/>
      <c r="J48" s="33"/>
    </row>
    <row r="49" spans="1:10" ht="48" customHeight="1">
      <c r="A49" s="7" t="s">
        <v>386</v>
      </c>
      <c r="B49" s="7" t="s">
        <v>48</v>
      </c>
      <c r="C49" s="7" t="s">
        <v>489</v>
      </c>
      <c r="D49" s="9" t="s">
        <v>680</v>
      </c>
      <c r="E49" s="9" t="s">
        <v>681</v>
      </c>
      <c r="F49" s="9" t="s">
        <v>682</v>
      </c>
      <c r="G49" s="9" t="s">
        <v>683</v>
      </c>
      <c r="H49" s="31" t="s">
        <v>684</v>
      </c>
      <c r="I49" s="57"/>
      <c r="J49" s="114"/>
    </row>
    <row r="50" spans="1:10" ht="48" customHeight="1">
      <c r="A50" s="7" t="s">
        <v>390</v>
      </c>
      <c r="B50" s="7" t="s">
        <v>48</v>
      </c>
      <c r="C50" s="7" t="s">
        <v>489</v>
      </c>
      <c r="D50" s="9" t="s">
        <v>680</v>
      </c>
      <c r="E50" s="9" t="s">
        <v>685</v>
      </c>
      <c r="F50" s="9" t="s">
        <v>686</v>
      </c>
      <c r="G50" s="9" t="s">
        <v>687</v>
      </c>
      <c r="H50" s="9" t="s">
        <v>688</v>
      </c>
      <c r="I50" s="215"/>
      <c r="J50" s="111"/>
    </row>
    <row r="51" spans="1:10" ht="48" customHeight="1">
      <c r="A51" s="7" t="s">
        <v>394</v>
      </c>
      <c r="B51" s="7" t="s">
        <v>48</v>
      </c>
      <c r="C51" s="7" t="s">
        <v>489</v>
      </c>
      <c r="D51" s="9" t="s">
        <v>689</v>
      </c>
      <c r="E51" s="9" t="s">
        <v>690</v>
      </c>
      <c r="F51" s="9" t="s">
        <v>691</v>
      </c>
      <c r="G51" s="9" t="s">
        <v>692</v>
      </c>
      <c r="H51" s="9" t="s">
        <v>693</v>
      </c>
      <c r="I51" s="196"/>
      <c r="J51" s="9"/>
    </row>
    <row r="52" spans="1:10" ht="48" customHeight="1">
      <c r="A52" s="7" t="s">
        <v>398</v>
      </c>
      <c r="B52" s="7" t="s">
        <v>48</v>
      </c>
      <c r="C52" s="7" t="s">
        <v>489</v>
      </c>
      <c r="D52" s="9" t="s">
        <v>694</v>
      </c>
      <c r="E52" s="9" t="s">
        <v>695</v>
      </c>
      <c r="F52" s="9" t="s">
        <v>696</v>
      </c>
      <c r="G52" s="9" t="s">
        <v>697</v>
      </c>
      <c r="H52" s="9" t="s">
        <v>698</v>
      </c>
      <c r="I52" s="196"/>
      <c r="J52" s="9"/>
    </row>
    <row r="53" spans="1:10" ht="48" customHeight="1">
      <c r="A53" s="7" t="s">
        <v>401</v>
      </c>
      <c r="B53" s="7" t="s">
        <v>48</v>
      </c>
      <c r="C53" s="7" t="s">
        <v>489</v>
      </c>
      <c r="D53" s="9" t="s">
        <v>689</v>
      </c>
      <c r="E53" s="9" t="s">
        <v>699</v>
      </c>
      <c r="F53" s="9" t="s">
        <v>700</v>
      </c>
      <c r="G53" s="9" t="s">
        <v>701</v>
      </c>
      <c r="H53" s="9" t="s">
        <v>702</v>
      </c>
      <c r="I53" s="202"/>
      <c r="J53" s="33"/>
    </row>
    <row r="54" spans="1:10" ht="48" customHeight="1">
      <c r="A54" s="7" t="s">
        <v>404</v>
      </c>
      <c r="B54" s="7" t="s">
        <v>48</v>
      </c>
      <c r="C54" s="7" t="s">
        <v>489</v>
      </c>
      <c r="D54" s="9" t="s">
        <v>703</v>
      </c>
      <c r="E54" s="9" t="s">
        <v>704</v>
      </c>
      <c r="F54" s="9" t="s">
        <v>705</v>
      </c>
      <c r="G54" s="9" t="s">
        <v>706</v>
      </c>
      <c r="H54" s="31" t="s">
        <v>707</v>
      </c>
      <c r="I54" s="216"/>
      <c r="J54" s="115"/>
    </row>
    <row r="55" spans="1:10" ht="48" customHeight="1">
      <c r="A55" s="7" t="s">
        <v>407</v>
      </c>
      <c r="B55" s="7" t="s">
        <v>48</v>
      </c>
      <c r="C55" s="7" t="s">
        <v>489</v>
      </c>
      <c r="D55" s="9" t="s">
        <v>708</v>
      </c>
      <c r="E55" s="9" t="s">
        <v>709</v>
      </c>
      <c r="F55" s="9" t="s">
        <v>710</v>
      </c>
      <c r="G55" s="9" t="s">
        <v>711</v>
      </c>
      <c r="H55" s="9" t="s">
        <v>712</v>
      </c>
      <c r="I55" s="215"/>
      <c r="J55" s="111"/>
    </row>
    <row r="56" spans="1:10" ht="48" customHeight="1">
      <c r="A56" s="7" t="s">
        <v>411</v>
      </c>
      <c r="B56" s="7" t="s">
        <v>48</v>
      </c>
      <c r="C56" s="7" t="s">
        <v>489</v>
      </c>
      <c r="D56" s="9" t="s">
        <v>713</v>
      </c>
      <c r="E56" s="9" t="s">
        <v>714</v>
      </c>
      <c r="F56" s="9" t="s">
        <v>715</v>
      </c>
      <c r="G56" s="9" t="s">
        <v>716</v>
      </c>
      <c r="H56" s="9" t="s">
        <v>717</v>
      </c>
      <c r="I56" s="196"/>
      <c r="J56" s="9"/>
    </row>
    <row r="57" spans="1:10" ht="48" customHeight="1">
      <c r="A57" s="7" t="s">
        <v>414</v>
      </c>
      <c r="B57" s="7" t="s">
        <v>48</v>
      </c>
      <c r="C57" s="7" t="s">
        <v>489</v>
      </c>
      <c r="D57" s="9" t="s">
        <v>718</v>
      </c>
      <c r="E57" s="9" t="s">
        <v>719</v>
      </c>
      <c r="F57" s="9" t="s">
        <v>720</v>
      </c>
      <c r="G57" s="9" t="s">
        <v>721</v>
      </c>
      <c r="H57" s="9" t="s">
        <v>722</v>
      </c>
      <c r="I57" s="196"/>
      <c r="J57" s="9"/>
    </row>
    <row r="58" spans="1:10" ht="48" customHeight="1">
      <c r="A58" s="7" t="s">
        <v>419</v>
      </c>
      <c r="B58" s="7" t="s">
        <v>48</v>
      </c>
      <c r="C58" s="7" t="s">
        <v>489</v>
      </c>
      <c r="D58" s="9" t="s">
        <v>718</v>
      </c>
      <c r="E58" s="9" t="s">
        <v>723</v>
      </c>
      <c r="F58" s="9" t="s">
        <v>724</v>
      </c>
      <c r="G58" s="9" t="s">
        <v>725</v>
      </c>
      <c r="H58" s="9" t="s">
        <v>726</v>
      </c>
      <c r="I58" s="196"/>
      <c r="J58" s="9"/>
    </row>
    <row r="59" spans="1:10" ht="48" customHeight="1">
      <c r="A59" s="7" t="s">
        <v>424</v>
      </c>
      <c r="B59" s="7" t="s">
        <v>48</v>
      </c>
      <c r="C59" s="7" t="s">
        <v>489</v>
      </c>
      <c r="D59" s="9" t="s">
        <v>727</v>
      </c>
      <c r="E59" s="9" t="s">
        <v>728</v>
      </c>
      <c r="F59" s="9" t="s">
        <v>729</v>
      </c>
      <c r="G59" s="9" t="s">
        <v>730</v>
      </c>
      <c r="H59" s="9" t="s">
        <v>731</v>
      </c>
      <c r="I59" s="196"/>
      <c r="J59" s="9"/>
    </row>
    <row r="60" spans="1:10" ht="48" customHeight="1">
      <c r="A60" s="7" t="s">
        <v>429</v>
      </c>
      <c r="B60" s="7" t="s">
        <v>48</v>
      </c>
      <c r="C60" s="7" t="s">
        <v>489</v>
      </c>
      <c r="D60" s="9" t="s">
        <v>732</v>
      </c>
      <c r="E60" s="9" t="s">
        <v>733</v>
      </c>
      <c r="F60" s="9" t="s">
        <v>734</v>
      </c>
      <c r="G60" s="9" t="s">
        <v>735</v>
      </c>
      <c r="H60" s="9" t="s">
        <v>736</v>
      </c>
      <c r="I60" s="196"/>
      <c r="J60" s="9"/>
    </row>
    <row r="61" spans="1:10" ht="48" customHeight="1">
      <c r="A61" s="7" t="s">
        <v>434</v>
      </c>
      <c r="B61" s="7" t="s">
        <v>48</v>
      </c>
      <c r="C61" s="7" t="s">
        <v>489</v>
      </c>
      <c r="D61" s="9" t="s">
        <v>737</v>
      </c>
      <c r="E61" s="9" t="s">
        <v>738</v>
      </c>
      <c r="F61" s="9" t="s">
        <v>739</v>
      </c>
      <c r="G61" s="9" t="s">
        <v>740</v>
      </c>
      <c r="H61" s="9" t="s">
        <v>741</v>
      </c>
      <c r="I61" s="196"/>
      <c r="J61" s="9"/>
    </row>
    <row r="62" spans="1:10" ht="48" customHeight="1">
      <c r="A62" s="7" t="s">
        <v>439</v>
      </c>
      <c r="B62" s="7" t="s">
        <v>48</v>
      </c>
      <c r="C62" s="7" t="s">
        <v>742</v>
      </c>
      <c r="D62" s="9" t="s">
        <v>743</v>
      </c>
      <c r="E62" s="9" t="s">
        <v>744</v>
      </c>
      <c r="F62" s="9" t="s">
        <v>745</v>
      </c>
      <c r="G62" s="9" t="s">
        <v>746</v>
      </c>
      <c r="H62" s="9" t="s">
        <v>747</v>
      </c>
      <c r="I62" s="196"/>
      <c r="J62" s="9"/>
    </row>
    <row r="63" spans="1:10" ht="48" customHeight="1">
      <c r="A63" s="7" t="s">
        <v>443</v>
      </c>
      <c r="B63" s="7" t="s">
        <v>48</v>
      </c>
      <c r="C63" s="7" t="s">
        <v>742</v>
      </c>
      <c r="D63" s="9" t="s">
        <v>748</v>
      </c>
      <c r="E63" s="7" t="s">
        <v>749</v>
      </c>
      <c r="F63" s="9" t="s">
        <v>750</v>
      </c>
      <c r="G63" s="9" t="s">
        <v>751</v>
      </c>
      <c r="H63" s="9" t="s">
        <v>752</v>
      </c>
      <c r="I63" s="196"/>
      <c r="J63" s="9"/>
    </row>
    <row r="64" spans="1:10" ht="48" customHeight="1">
      <c r="A64" s="7" t="s">
        <v>447</v>
      </c>
      <c r="B64" s="7" t="s">
        <v>48</v>
      </c>
      <c r="C64" s="7" t="s">
        <v>742</v>
      </c>
      <c r="D64" s="9" t="s">
        <v>753</v>
      </c>
      <c r="E64" s="9" t="s">
        <v>754</v>
      </c>
      <c r="F64" s="9" t="s">
        <v>755</v>
      </c>
      <c r="G64" s="9" t="s">
        <v>756</v>
      </c>
      <c r="H64" s="9" t="s">
        <v>757</v>
      </c>
      <c r="I64" s="196"/>
      <c r="J64" s="9"/>
    </row>
    <row r="65" spans="1:10" ht="48" customHeight="1">
      <c r="A65" s="7" t="s">
        <v>451</v>
      </c>
      <c r="B65" s="7" t="s">
        <v>48</v>
      </c>
      <c r="C65" s="7" t="s">
        <v>742</v>
      </c>
      <c r="D65" s="9" t="s">
        <v>753</v>
      </c>
      <c r="E65" s="9" t="s">
        <v>758</v>
      </c>
      <c r="F65" s="9" t="s">
        <v>759</v>
      </c>
      <c r="G65" s="9" t="s">
        <v>756</v>
      </c>
      <c r="H65" s="9" t="s">
        <v>760</v>
      </c>
      <c r="I65" s="196"/>
      <c r="J65" s="9"/>
    </row>
    <row r="66" spans="1:10" ht="48" customHeight="1">
      <c r="A66" s="7" t="s">
        <v>455</v>
      </c>
      <c r="B66" s="7" t="s">
        <v>48</v>
      </c>
      <c r="C66" s="7" t="s">
        <v>742</v>
      </c>
      <c r="D66" s="9" t="s">
        <v>753</v>
      </c>
      <c r="E66" s="9" t="s">
        <v>761</v>
      </c>
      <c r="F66" s="9" t="s">
        <v>762</v>
      </c>
      <c r="G66" s="9" t="s">
        <v>763</v>
      </c>
      <c r="H66" s="9" t="s">
        <v>764</v>
      </c>
      <c r="I66" s="196"/>
      <c r="J66" s="9"/>
    </row>
    <row r="67" spans="1:10" ht="48" customHeight="1">
      <c r="A67" s="7" t="s">
        <v>459</v>
      </c>
      <c r="B67" s="7" t="s">
        <v>48</v>
      </c>
      <c r="C67" s="7" t="s">
        <v>742</v>
      </c>
      <c r="D67" s="9" t="s">
        <v>765</v>
      </c>
      <c r="E67" s="7" t="s">
        <v>766</v>
      </c>
      <c r="F67" s="9" t="s">
        <v>767</v>
      </c>
      <c r="G67" s="9" t="s">
        <v>768</v>
      </c>
      <c r="H67" s="9" t="s">
        <v>769</v>
      </c>
      <c r="I67" s="196"/>
      <c r="J67" s="9"/>
    </row>
    <row r="68" spans="1:10" ht="48" customHeight="1">
      <c r="A68" s="7" t="s">
        <v>465</v>
      </c>
      <c r="B68" s="7" t="s">
        <v>48</v>
      </c>
      <c r="C68" s="7" t="s">
        <v>742</v>
      </c>
      <c r="D68" s="9" t="s">
        <v>765</v>
      </c>
      <c r="E68" s="116" t="s">
        <v>770</v>
      </c>
      <c r="F68" s="9" t="s">
        <v>771</v>
      </c>
      <c r="G68" s="9" t="s">
        <v>772</v>
      </c>
      <c r="H68" s="9" t="s">
        <v>773</v>
      </c>
      <c r="I68" s="196"/>
      <c r="J68" s="9"/>
    </row>
    <row r="69" spans="1:10" ht="48" customHeight="1">
      <c r="A69" s="7" t="s">
        <v>774</v>
      </c>
      <c r="B69" s="7" t="s">
        <v>48</v>
      </c>
      <c r="C69" s="7" t="s">
        <v>742</v>
      </c>
      <c r="D69" s="9" t="s">
        <v>775</v>
      </c>
      <c r="E69" s="9" t="s">
        <v>776</v>
      </c>
      <c r="F69" s="9" t="s">
        <v>777</v>
      </c>
      <c r="G69" s="9" t="s">
        <v>778</v>
      </c>
      <c r="H69" s="9" t="s">
        <v>779</v>
      </c>
      <c r="I69" s="196"/>
      <c r="J69" s="9"/>
    </row>
    <row r="70" spans="1:10" ht="48" customHeight="1">
      <c r="A70" s="7" t="s">
        <v>471</v>
      </c>
      <c r="B70" s="7" t="s">
        <v>48</v>
      </c>
      <c r="C70" s="7" t="s">
        <v>742</v>
      </c>
      <c r="D70" s="9" t="s">
        <v>775</v>
      </c>
      <c r="E70" s="160" t="s">
        <v>780</v>
      </c>
      <c r="F70" s="9" t="s">
        <v>781</v>
      </c>
      <c r="G70" s="9" t="s">
        <v>782</v>
      </c>
      <c r="H70" s="9" t="s">
        <v>783</v>
      </c>
      <c r="I70" s="196"/>
      <c r="J70" s="9"/>
    </row>
    <row r="71" spans="1:10" ht="48" customHeight="1">
      <c r="A71" s="7" t="s">
        <v>475</v>
      </c>
      <c r="B71" s="188" t="s">
        <v>48</v>
      </c>
      <c r="C71" s="188" t="s">
        <v>489</v>
      </c>
      <c r="D71" s="189" t="s">
        <v>505</v>
      </c>
      <c r="E71" s="189" t="s">
        <v>784</v>
      </c>
      <c r="F71" s="29" t="s">
        <v>785</v>
      </c>
      <c r="G71" s="189" t="s">
        <v>786</v>
      </c>
      <c r="H71" s="188"/>
      <c r="I71" s="190"/>
      <c r="J71" s="190"/>
    </row>
    <row r="72" spans="1:10" ht="48" customHeight="1">
      <c r="A72" s="7" t="s">
        <v>479</v>
      </c>
      <c r="B72" s="188" t="s">
        <v>48</v>
      </c>
      <c r="C72" s="188" t="s">
        <v>489</v>
      </c>
      <c r="D72" s="189" t="s">
        <v>787</v>
      </c>
      <c r="E72" s="189" t="s">
        <v>788</v>
      </c>
      <c r="F72" s="29" t="s">
        <v>789</v>
      </c>
      <c r="G72" s="189" t="s">
        <v>790</v>
      </c>
      <c r="H72" s="188"/>
      <c r="I72" s="190"/>
      <c r="J72" s="190"/>
    </row>
    <row r="73" spans="1:10" ht="48" customHeight="1">
      <c r="A73" s="7" t="s">
        <v>483</v>
      </c>
      <c r="B73" s="188" t="s">
        <v>48</v>
      </c>
      <c r="C73" s="188" t="s">
        <v>791</v>
      </c>
      <c r="D73" s="189" t="s">
        <v>792</v>
      </c>
      <c r="E73" s="189" t="s">
        <v>793</v>
      </c>
      <c r="F73" s="29" t="s">
        <v>794</v>
      </c>
      <c r="G73" s="189" t="s">
        <v>795</v>
      </c>
      <c r="H73" s="188"/>
      <c r="I73" s="190"/>
      <c r="J73" s="190"/>
    </row>
    <row r="74" spans="1:10" ht="48" customHeight="1">
      <c r="A74" s="7" t="s">
        <v>796</v>
      </c>
      <c r="B74" s="188" t="s">
        <v>48</v>
      </c>
      <c r="C74" s="188" t="s">
        <v>791</v>
      </c>
      <c r="D74" s="189" t="s">
        <v>797</v>
      </c>
      <c r="E74" s="189" t="s">
        <v>798</v>
      </c>
      <c r="F74" s="29" t="s">
        <v>799</v>
      </c>
      <c r="G74" s="189" t="s">
        <v>800</v>
      </c>
      <c r="H74" s="188"/>
      <c r="I74" s="190"/>
      <c r="J74" s="190"/>
    </row>
    <row r="75" spans="1:10" ht="48" customHeight="1">
      <c r="A75" s="7" t="s">
        <v>801</v>
      </c>
      <c r="B75" s="188" t="s">
        <v>48</v>
      </c>
      <c r="C75" s="188" t="s">
        <v>791</v>
      </c>
      <c r="D75" s="189" t="s">
        <v>802</v>
      </c>
      <c r="E75" s="189" t="s">
        <v>803</v>
      </c>
      <c r="F75" s="29" t="s">
        <v>804</v>
      </c>
      <c r="G75" s="189" t="s">
        <v>805</v>
      </c>
      <c r="H75" s="188"/>
      <c r="I75" s="190"/>
      <c r="J75" s="190"/>
    </row>
    <row r="76" spans="1:10" ht="48" customHeight="1">
      <c r="A76" s="7" t="s">
        <v>806</v>
      </c>
      <c r="B76" s="188" t="s">
        <v>48</v>
      </c>
      <c r="C76" s="188" t="s">
        <v>791</v>
      </c>
      <c r="D76" s="189" t="s">
        <v>807</v>
      </c>
      <c r="E76" s="189" t="s">
        <v>808</v>
      </c>
      <c r="F76" s="29" t="s">
        <v>809</v>
      </c>
      <c r="G76" s="189" t="s">
        <v>810</v>
      </c>
      <c r="H76" s="188"/>
      <c r="I76" s="190"/>
      <c r="J76" s="190"/>
    </row>
    <row r="77" spans="1:10" ht="48" customHeight="1">
      <c r="A77" s="7" t="s">
        <v>811</v>
      </c>
      <c r="B77" s="188" t="s">
        <v>48</v>
      </c>
      <c r="C77" s="188" t="s">
        <v>791</v>
      </c>
      <c r="D77" s="189" t="s">
        <v>812</v>
      </c>
      <c r="E77" s="189" t="s">
        <v>813</v>
      </c>
      <c r="F77" s="29" t="s">
        <v>814</v>
      </c>
      <c r="G77" s="189" t="s">
        <v>815</v>
      </c>
      <c r="H77" s="188"/>
      <c r="I77" s="190"/>
      <c r="J77" s="190"/>
    </row>
    <row r="78" spans="1:10" ht="48" customHeight="1">
      <c r="A78" s="7" t="s">
        <v>816</v>
      </c>
      <c r="B78" s="188" t="s">
        <v>48</v>
      </c>
      <c r="C78" s="188" t="s">
        <v>791</v>
      </c>
      <c r="D78" s="189" t="s">
        <v>817</v>
      </c>
      <c r="E78" s="189" t="s">
        <v>818</v>
      </c>
      <c r="F78" s="29" t="s">
        <v>819</v>
      </c>
      <c r="G78" s="189" t="s">
        <v>820</v>
      </c>
      <c r="H78" s="188"/>
      <c r="I78" s="190"/>
      <c r="J78" s="190"/>
    </row>
    <row r="79" spans="1:10" ht="48" customHeight="1">
      <c r="A79" s="7" t="s">
        <v>821</v>
      </c>
      <c r="B79" s="188" t="s">
        <v>48</v>
      </c>
      <c r="C79" s="188" t="s">
        <v>489</v>
      </c>
      <c r="D79" s="189" t="s">
        <v>802</v>
      </c>
      <c r="E79" s="189" t="s">
        <v>822</v>
      </c>
      <c r="F79" s="29" t="s">
        <v>823</v>
      </c>
      <c r="G79" s="189" t="s">
        <v>824</v>
      </c>
      <c r="H79" s="188" t="s">
        <v>825</v>
      </c>
      <c r="I79" s="190"/>
      <c r="J79" s="190"/>
    </row>
    <row r="80" spans="1:10" ht="48" customHeight="1">
      <c r="A80" s="7" t="s">
        <v>826</v>
      </c>
      <c r="B80" s="188" t="s">
        <v>48</v>
      </c>
      <c r="C80" s="188" t="s">
        <v>489</v>
      </c>
      <c r="D80" s="189" t="s">
        <v>827</v>
      </c>
      <c r="E80" s="189" t="s">
        <v>828</v>
      </c>
      <c r="F80" s="29" t="s">
        <v>829</v>
      </c>
      <c r="G80" s="189" t="s">
        <v>830</v>
      </c>
      <c r="H80" s="189" t="s">
        <v>831</v>
      </c>
      <c r="I80" s="190"/>
      <c r="J80" s="190"/>
    </row>
  </sheetData>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211"/>
  <sheetViews>
    <sheetView zoomScale="70" zoomScaleNormal="70" workbookViewId="0">
      <selection activeCell="I2" sqref="I2:J211"/>
    </sheetView>
  </sheetViews>
  <sheetFormatPr defaultColWidth="9" defaultRowHeight="15" customHeight="1"/>
  <cols>
    <col min="1" max="1" width="11.7109375" style="77" customWidth="1"/>
    <col min="2" max="2" width="6.5703125" style="77" customWidth="1"/>
    <col min="3" max="3" width="25.7109375" style="77" customWidth="1"/>
    <col min="4" max="4" width="19.85546875" style="77" customWidth="1"/>
    <col min="5" max="5" width="58.85546875" style="77" customWidth="1"/>
    <col min="6" max="6" width="25.5703125" style="77" customWidth="1"/>
    <col min="7" max="7" width="21.42578125" style="77" customWidth="1"/>
    <col min="8" max="8" width="32.42578125" style="77" customWidth="1"/>
    <col min="9" max="9" width="7.85546875" style="73" bestFit="1" customWidth="1"/>
    <col min="10" max="10" width="29" style="77" customWidth="1"/>
    <col min="11" max="17" width="9" style="77" customWidth="1"/>
    <col min="18" max="16384" width="9" style="77"/>
  </cols>
  <sheetData>
    <row r="1" spans="1:10" s="73" customFormat="1" ht="15" customHeight="1">
      <c r="A1" s="250" t="s">
        <v>37</v>
      </c>
      <c r="B1" s="250" t="s">
        <v>38</v>
      </c>
      <c r="C1" s="250" t="s">
        <v>39</v>
      </c>
      <c r="D1" s="250" t="s">
        <v>40</v>
      </c>
      <c r="E1" s="250" t="s">
        <v>41</v>
      </c>
      <c r="F1" s="250" t="s">
        <v>42</v>
      </c>
      <c r="G1" s="250" t="s">
        <v>176</v>
      </c>
      <c r="H1" s="250" t="s">
        <v>44</v>
      </c>
      <c r="I1" s="138" t="s">
        <v>45</v>
      </c>
      <c r="J1" s="172" t="s">
        <v>46</v>
      </c>
    </row>
    <row r="2" spans="1:10" s="74" customFormat="1" ht="15" customHeight="1">
      <c r="A2" s="251" t="s">
        <v>47</v>
      </c>
      <c r="B2" s="251" t="s">
        <v>48</v>
      </c>
      <c r="C2" s="251" t="s">
        <v>832</v>
      </c>
      <c r="D2" s="251" t="s">
        <v>833</v>
      </c>
      <c r="E2" s="251" t="s">
        <v>834</v>
      </c>
      <c r="F2" s="251" t="s">
        <v>835</v>
      </c>
      <c r="G2" s="251" t="s">
        <v>836</v>
      </c>
      <c r="H2" s="269" t="s">
        <v>837</v>
      </c>
      <c r="I2" s="252"/>
      <c r="J2" s="251"/>
    </row>
    <row r="3" spans="1:10" s="74" customFormat="1" ht="15" customHeight="1">
      <c r="A3" s="268" t="s">
        <v>55</v>
      </c>
      <c r="B3" s="268" t="s">
        <v>48</v>
      </c>
      <c r="C3" s="268" t="s">
        <v>838</v>
      </c>
      <c r="D3" s="268" t="s">
        <v>839</v>
      </c>
      <c r="E3" s="268" t="s">
        <v>840</v>
      </c>
      <c r="F3" s="268" t="s">
        <v>841</v>
      </c>
      <c r="G3" s="268" t="s">
        <v>842</v>
      </c>
      <c r="H3" s="269" t="s">
        <v>843</v>
      </c>
      <c r="I3" s="273"/>
      <c r="J3" s="268"/>
    </row>
    <row r="4" spans="1:10" s="74" customFormat="1" ht="15" customHeight="1">
      <c r="A4" s="251" t="s">
        <v>60</v>
      </c>
      <c r="B4" s="268" t="s">
        <v>48</v>
      </c>
      <c r="C4" s="268" t="s">
        <v>838</v>
      </c>
      <c r="D4" s="268" t="s">
        <v>839</v>
      </c>
      <c r="E4" s="268" t="s">
        <v>844</v>
      </c>
      <c r="F4" s="268" t="s">
        <v>845</v>
      </c>
      <c r="G4" s="268" t="s">
        <v>846</v>
      </c>
      <c r="H4" s="269" t="s">
        <v>847</v>
      </c>
      <c r="I4" s="253"/>
      <c r="J4" s="174"/>
    </row>
    <row r="5" spans="1:10" s="74" customFormat="1" ht="15" customHeight="1">
      <c r="A5" s="268" t="s">
        <v>65</v>
      </c>
      <c r="B5" s="268" t="s">
        <v>48</v>
      </c>
      <c r="C5" s="268" t="s">
        <v>838</v>
      </c>
      <c r="D5" s="268" t="s">
        <v>848</v>
      </c>
      <c r="E5" s="268" t="s">
        <v>849</v>
      </c>
      <c r="F5" s="268" t="s">
        <v>850</v>
      </c>
      <c r="G5" s="268" t="s">
        <v>851</v>
      </c>
      <c r="H5" s="269" t="s">
        <v>852</v>
      </c>
      <c r="I5" s="273"/>
      <c r="J5" s="268"/>
    </row>
    <row r="6" spans="1:10" s="74" customFormat="1" ht="15" customHeight="1">
      <c r="A6" s="251" t="s">
        <v>70</v>
      </c>
      <c r="B6" s="242" t="s">
        <v>48</v>
      </c>
      <c r="C6" s="242" t="s">
        <v>853</v>
      </c>
      <c r="D6" s="242" t="s">
        <v>854</v>
      </c>
      <c r="E6" s="242" t="s">
        <v>855</v>
      </c>
      <c r="F6" s="268" t="s">
        <v>856</v>
      </c>
      <c r="G6" s="242" t="s">
        <v>857</v>
      </c>
      <c r="H6" s="269" t="s">
        <v>858</v>
      </c>
      <c r="I6" s="273"/>
      <c r="J6" s="268"/>
    </row>
    <row r="7" spans="1:10" s="74" customFormat="1" ht="15" customHeight="1">
      <c r="A7" s="268" t="s">
        <v>74</v>
      </c>
      <c r="B7" s="242" t="s">
        <v>48</v>
      </c>
      <c r="C7" s="242" t="s">
        <v>838</v>
      </c>
      <c r="D7" s="242" t="s">
        <v>854</v>
      </c>
      <c r="E7" s="242" t="s">
        <v>859</v>
      </c>
      <c r="F7" s="268" t="s">
        <v>860</v>
      </c>
      <c r="G7" s="242" t="s">
        <v>861</v>
      </c>
      <c r="H7" s="269" t="s">
        <v>862</v>
      </c>
      <c r="I7" s="273"/>
      <c r="J7" s="268"/>
    </row>
    <row r="8" spans="1:10" s="74" customFormat="1" ht="15" customHeight="1">
      <c r="A8" s="251" t="s">
        <v>79</v>
      </c>
      <c r="B8" s="242" t="s">
        <v>48</v>
      </c>
      <c r="C8" s="242" t="s">
        <v>853</v>
      </c>
      <c r="D8" s="242" t="s">
        <v>863</v>
      </c>
      <c r="E8" s="242" t="s">
        <v>864</v>
      </c>
      <c r="F8" s="268" t="s">
        <v>865</v>
      </c>
      <c r="G8" s="242" t="s">
        <v>866</v>
      </c>
      <c r="H8" s="269" t="s">
        <v>867</v>
      </c>
      <c r="I8" s="273"/>
      <c r="J8" s="268"/>
    </row>
    <row r="9" spans="1:10" s="74" customFormat="1" ht="15" customHeight="1">
      <c r="A9" s="268" t="s">
        <v>84</v>
      </c>
      <c r="B9" s="242" t="s">
        <v>48</v>
      </c>
      <c r="C9" s="242" t="s">
        <v>853</v>
      </c>
      <c r="D9" s="242" t="s">
        <v>868</v>
      </c>
      <c r="E9" s="242" t="s">
        <v>869</v>
      </c>
      <c r="F9" s="268" t="s">
        <v>870</v>
      </c>
      <c r="G9" s="242" t="s">
        <v>871</v>
      </c>
      <c r="H9" s="269" t="s">
        <v>872</v>
      </c>
      <c r="I9" s="273"/>
      <c r="J9" s="268"/>
    </row>
    <row r="10" spans="1:10" s="74" customFormat="1" ht="15" customHeight="1">
      <c r="A10" s="251" t="s">
        <v>89</v>
      </c>
      <c r="B10" s="242" t="s">
        <v>48</v>
      </c>
      <c r="C10" s="242" t="s">
        <v>868</v>
      </c>
      <c r="D10" s="242" t="s">
        <v>873</v>
      </c>
      <c r="E10" s="242" t="s">
        <v>874</v>
      </c>
      <c r="F10" s="268" t="s">
        <v>875</v>
      </c>
      <c r="G10" s="242" t="s">
        <v>876</v>
      </c>
      <c r="H10" s="269" t="s">
        <v>877</v>
      </c>
      <c r="I10" s="273"/>
      <c r="J10" s="268"/>
    </row>
    <row r="11" spans="1:10" s="2" customFormat="1" ht="15" customHeight="1">
      <c r="A11" s="268" t="s">
        <v>94</v>
      </c>
      <c r="B11" s="242" t="s">
        <v>48</v>
      </c>
      <c r="C11" s="242" t="s">
        <v>868</v>
      </c>
      <c r="D11" s="242" t="s">
        <v>878</v>
      </c>
      <c r="E11" s="242" t="s">
        <v>879</v>
      </c>
      <c r="F11" s="268" t="s">
        <v>880</v>
      </c>
      <c r="G11" s="242" t="s">
        <v>881</v>
      </c>
      <c r="H11" s="254"/>
      <c r="I11" s="273"/>
      <c r="J11" s="268"/>
    </row>
    <row r="12" spans="1:10" ht="15" customHeight="1">
      <c r="A12" s="251" t="s">
        <v>99</v>
      </c>
      <c r="B12" s="242" t="s">
        <v>48</v>
      </c>
      <c r="C12" s="242" t="s">
        <v>882</v>
      </c>
      <c r="D12" s="242" t="s">
        <v>883</v>
      </c>
      <c r="E12" s="242" t="s">
        <v>884</v>
      </c>
      <c r="F12" s="268" t="s">
        <v>885</v>
      </c>
      <c r="G12" s="242" t="s">
        <v>886</v>
      </c>
      <c r="H12" s="255"/>
      <c r="I12" s="273"/>
      <c r="J12" s="268"/>
    </row>
    <row r="13" spans="1:10" ht="15" customHeight="1">
      <c r="A13" s="268" t="s">
        <v>103</v>
      </c>
      <c r="B13" s="242" t="s">
        <v>48</v>
      </c>
      <c r="C13" s="242" t="s">
        <v>882</v>
      </c>
      <c r="D13" s="242" t="s">
        <v>887</v>
      </c>
      <c r="E13" s="242" t="s">
        <v>888</v>
      </c>
      <c r="F13" s="268" t="s">
        <v>889</v>
      </c>
      <c r="G13" s="242" t="s">
        <v>890</v>
      </c>
      <c r="H13" s="255"/>
      <c r="I13" s="273"/>
      <c r="J13" s="268"/>
    </row>
    <row r="14" spans="1:10" ht="15" customHeight="1">
      <c r="A14" s="251" t="s">
        <v>108</v>
      </c>
      <c r="B14" s="242" t="s">
        <v>48</v>
      </c>
      <c r="C14" s="242" t="s">
        <v>882</v>
      </c>
      <c r="D14" s="242" t="s">
        <v>891</v>
      </c>
      <c r="E14" s="242" t="s">
        <v>892</v>
      </c>
      <c r="F14" s="268" t="s">
        <v>893</v>
      </c>
      <c r="G14" s="242" t="s">
        <v>894</v>
      </c>
      <c r="H14" s="255"/>
      <c r="I14" s="273"/>
      <c r="J14" s="268"/>
    </row>
    <row r="15" spans="1:10" ht="15" customHeight="1">
      <c r="A15" s="268" t="s">
        <v>112</v>
      </c>
      <c r="B15" s="242" t="s">
        <v>48</v>
      </c>
      <c r="C15" s="242" t="s">
        <v>882</v>
      </c>
      <c r="D15" s="242" t="s">
        <v>895</v>
      </c>
      <c r="E15" s="242" t="s">
        <v>896</v>
      </c>
      <c r="F15" s="268" t="s">
        <v>897</v>
      </c>
      <c r="G15" s="242" t="s">
        <v>898</v>
      </c>
      <c r="H15" s="254"/>
      <c r="I15" s="273"/>
      <c r="J15" s="268"/>
    </row>
    <row r="16" spans="1:10" ht="15" customHeight="1">
      <c r="A16" s="251" t="s">
        <v>118</v>
      </c>
      <c r="B16" s="242" t="s">
        <v>48</v>
      </c>
      <c r="C16" s="242" t="s">
        <v>882</v>
      </c>
      <c r="D16" s="242" t="s">
        <v>899</v>
      </c>
      <c r="E16" s="242" t="s">
        <v>900</v>
      </c>
      <c r="F16" s="268" t="s">
        <v>901</v>
      </c>
      <c r="G16" s="242" t="s">
        <v>902</v>
      </c>
      <c r="H16" s="255"/>
      <c r="I16" s="273"/>
      <c r="J16" s="268"/>
    </row>
    <row r="17" spans="1:10" ht="15" customHeight="1">
      <c r="A17" s="268" t="s">
        <v>124</v>
      </c>
      <c r="B17" s="242" t="s">
        <v>48</v>
      </c>
      <c r="C17" s="242" t="s">
        <v>882</v>
      </c>
      <c r="D17" s="242" t="s">
        <v>903</v>
      </c>
      <c r="E17" s="242" t="s">
        <v>904</v>
      </c>
      <c r="F17" s="268" t="s">
        <v>905</v>
      </c>
      <c r="G17" s="242" t="s">
        <v>906</v>
      </c>
      <c r="H17" s="255"/>
      <c r="I17" s="273"/>
      <c r="J17" s="268"/>
    </row>
    <row r="18" spans="1:10" s="74" customFormat="1" ht="15" customHeight="1">
      <c r="A18" s="251" t="s">
        <v>129</v>
      </c>
      <c r="B18" s="242" t="s">
        <v>48</v>
      </c>
      <c r="C18" s="242" t="s">
        <v>868</v>
      </c>
      <c r="D18" s="242" t="s">
        <v>907</v>
      </c>
      <c r="E18" s="242" t="s">
        <v>908</v>
      </c>
      <c r="F18" s="268" t="s">
        <v>909</v>
      </c>
      <c r="G18" s="242" t="s">
        <v>910</v>
      </c>
      <c r="H18" s="269" t="s">
        <v>911</v>
      </c>
      <c r="I18" s="273"/>
      <c r="J18" s="268"/>
    </row>
    <row r="19" spans="1:10" s="241" customFormat="1" ht="15" customHeight="1">
      <c r="A19" s="268" t="s">
        <v>133</v>
      </c>
      <c r="B19" s="242" t="s">
        <v>48</v>
      </c>
      <c r="C19" s="242" t="s">
        <v>868</v>
      </c>
      <c r="D19" s="242" t="s">
        <v>907</v>
      </c>
      <c r="E19" s="242" t="s">
        <v>912</v>
      </c>
      <c r="F19" s="268" t="s">
        <v>913</v>
      </c>
      <c r="G19" s="242" t="s">
        <v>914</v>
      </c>
      <c r="H19" s="269"/>
      <c r="I19" s="273"/>
      <c r="J19" s="268"/>
    </row>
    <row r="20" spans="1:10" s="241" customFormat="1" ht="15" customHeight="1">
      <c r="A20" s="251" t="s">
        <v>137</v>
      </c>
      <c r="B20" s="242" t="s">
        <v>48</v>
      </c>
      <c r="C20" s="242" t="s">
        <v>915</v>
      </c>
      <c r="D20" s="242" t="s">
        <v>899</v>
      </c>
      <c r="E20" s="242" t="s">
        <v>916</v>
      </c>
      <c r="F20" s="268" t="s">
        <v>917</v>
      </c>
      <c r="G20" s="242" t="s">
        <v>918</v>
      </c>
      <c r="H20" s="269"/>
      <c r="I20" s="273"/>
      <c r="J20" s="268"/>
    </row>
    <row r="21" spans="1:10" s="241" customFormat="1" ht="15" customHeight="1">
      <c r="A21" s="268" t="s">
        <v>142</v>
      </c>
      <c r="B21" s="242" t="s">
        <v>48</v>
      </c>
      <c r="C21" s="242" t="s">
        <v>915</v>
      </c>
      <c r="D21" s="242" t="s">
        <v>903</v>
      </c>
      <c r="E21" s="242" t="s">
        <v>919</v>
      </c>
      <c r="F21" s="268" t="s">
        <v>920</v>
      </c>
      <c r="G21" s="242" t="s">
        <v>921</v>
      </c>
      <c r="H21" s="269"/>
      <c r="I21" s="273"/>
      <c r="J21" s="268"/>
    </row>
    <row r="22" spans="1:10" s="74" customFormat="1" ht="18.75" customHeight="1">
      <c r="A22" s="251" t="s">
        <v>146</v>
      </c>
      <c r="B22" s="242" t="s">
        <v>48</v>
      </c>
      <c r="C22" s="242" t="s">
        <v>868</v>
      </c>
      <c r="D22" s="242" t="s">
        <v>922</v>
      </c>
      <c r="E22" s="242" t="s">
        <v>923</v>
      </c>
      <c r="F22" s="242" t="s">
        <v>924</v>
      </c>
      <c r="G22" s="242" t="s">
        <v>925</v>
      </c>
      <c r="H22" s="269" t="s">
        <v>926</v>
      </c>
      <c r="I22" s="273"/>
      <c r="J22" s="242"/>
    </row>
    <row r="23" spans="1:10" s="74" customFormat="1" ht="15" customHeight="1">
      <c r="A23" s="268" t="s">
        <v>151</v>
      </c>
      <c r="B23" s="242" t="s">
        <v>48</v>
      </c>
      <c r="C23" s="242" t="s">
        <v>868</v>
      </c>
      <c r="D23" s="242" t="s">
        <v>927</v>
      </c>
      <c r="E23" s="242" t="s">
        <v>928</v>
      </c>
      <c r="F23" s="268" t="s">
        <v>929</v>
      </c>
      <c r="G23" s="242" t="s">
        <v>930</v>
      </c>
      <c r="H23" s="269" t="s">
        <v>931</v>
      </c>
      <c r="I23" s="273"/>
      <c r="J23" s="242"/>
    </row>
    <row r="24" spans="1:10" s="241" customFormat="1" ht="15" customHeight="1">
      <c r="A24" s="251" t="s">
        <v>154</v>
      </c>
      <c r="B24" s="242" t="s">
        <v>48</v>
      </c>
      <c r="C24" s="242" t="s">
        <v>927</v>
      </c>
      <c r="D24" s="242" t="s">
        <v>932</v>
      </c>
      <c r="E24" s="242" t="s">
        <v>933</v>
      </c>
      <c r="F24" s="268" t="s">
        <v>934</v>
      </c>
      <c r="G24" s="242" t="s">
        <v>935</v>
      </c>
      <c r="H24" s="269"/>
      <c r="I24" s="273"/>
      <c r="J24" s="242"/>
    </row>
    <row r="25" spans="1:10" s="241" customFormat="1" ht="15" customHeight="1">
      <c r="A25" s="268" t="s">
        <v>158</v>
      </c>
      <c r="B25" s="242" t="s">
        <v>48</v>
      </c>
      <c r="C25" s="242" t="s">
        <v>927</v>
      </c>
      <c r="D25" s="242" t="s">
        <v>932</v>
      </c>
      <c r="E25" s="242" t="s">
        <v>936</v>
      </c>
      <c r="F25" s="268" t="s">
        <v>937</v>
      </c>
      <c r="G25" s="242" t="s">
        <v>938</v>
      </c>
      <c r="H25" s="269"/>
      <c r="I25" s="273"/>
      <c r="J25" s="242"/>
    </row>
    <row r="26" spans="1:10" s="241" customFormat="1" ht="15" customHeight="1">
      <c r="A26" s="251" t="s">
        <v>164</v>
      </c>
      <c r="B26" s="242" t="s">
        <v>48</v>
      </c>
      <c r="C26" s="242" t="s">
        <v>927</v>
      </c>
      <c r="D26" s="242" t="s">
        <v>899</v>
      </c>
      <c r="E26" s="242" t="s">
        <v>939</v>
      </c>
      <c r="F26" s="268" t="s">
        <v>940</v>
      </c>
      <c r="G26" s="242" t="s">
        <v>941</v>
      </c>
      <c r="H26" s="269"/>
      <c r="I26" s="273"/>
      <c r="J26" s="242"/>
    </row>
    <row r="27" spans="1:10" s="74" customFormat="1" ht="15" customHeight="1">
      <c r="A27" s="268" t="s">
        <v>170</v>
      </c>
      <c r="B27" s="242" t="s">
        <v>48</v>
      </c>
      <c r="C27" s="242" t="s">
        <v>927</v>
      </c>
      <c r="D27" s="242" t="s">
        <v>903</v>
      </c>
      <c r="E27" s="242" t="s">
        <v>942</v>
      </c>
      <c r="F27" s="268" t="s">
        <v>943</v>
      </c>
      <c r="G27" s="242" t="s">
        <v>944</v>
      </c>
      <c r="H27" s="269" t="s">
        <v>945</v>
      </c>
      <c r="I27" s="273"/>
      <c r="J27" s="242"/>
    </row>
    <row r="28" spans="1:10" s="241" customFormat="1" ht="15" customHeight="1">
      <c r="A28" s="251" t="s">
        <v>283</v>
      </c>
      <c r="B28" s="242" t="s">
        <v>48</v>
      </c>
      <c r="C28" s="242" t="s">
        <v>927</v>
      </c>
      <c r="D28" s="242" t="s">
        <v>946</v>
      </c>
      <c r="E28" s="242" t="s">
        <v>947</v>
      </c>
      <c r="F28" s="268" t="s">
        <v>948</v>
      </c>
      <c r="G28" s="242" t="s">
        <v>949</v>
      </c>
      <c r="H28" s="268"/>
      <c r="I28" s="273"/>
      <c r="J28" s="242"/>
    </row>
    <row r="29" spans="1:10" s="241" customFormat="1" ht="15" customHeight="1">
      <c r="A29" s="268" t="s">
        <v>288</v>
      </c>
      <c r="B29" s="242" t="s">
        <v>48</v>
      </c>
      <c r="C29" s="242" t="s">
        <v>927</v>
      </c>
      <c r="D29" s="242" t="s">
        <v>950</v>
      </c>
      <c r="E29" s="242" t="s">
        <v>951</v>
      </c>
      <c r="F29" s="268" t="s">
        <v>952</v>
      </c>
      <c r="G29" s="242" t="s">
        <v>953</v>
      </c>
      <c r="H29" s="268"/>
      <c r="I29" s="273"/>
      <c r="J29" s="242"/>
    </row>
    <row r="30" spans="1:10" s="241" customFormat="1" ht="15" customHeight="1">
      <c r="A30" s="251" t="s">
        <v>293</v>
      </c>
      <c r="B30" s="242" t="s">
        <v>48</v>
      </c>
      <c r="C30" s="242" t="s">
        <v>927</v>
      </c>
      <c r="D30" s="242" t="s">
        <v>954</v>
      </c>
      <c r="E30" s="242" t="s">
        <v>955</v>
      </c>
      <c r="F30" s="268" t="s">
        <v>956</v>
      </c>
      <c r="G30" s="242" t="s">
        <v>957</v>
      </c>
      <c r="H30" s="269"/>
      <c r="I30" s="273"/>
      <c r="J30" s="242"/>
    </row>
    <row r="31" spans="1:10" s="74" customFormat="1" ht="15" customHeight="1">
      <c r="A31" s="268" t="s">
        <v>298</v>
      </c>
      <c r="B31" s="242" t="s">
        <v>48</v>
      </c>
      <c r="C31" s="242" t="s">
        <v>927</v>
      </c>
      <c r="D31" s="242" t="s">
        <v>903</v>
      </c>
      <c r="E31" s="242" t="s">
        <v>958</v>
      </c>
      <c r="F31" s="268" t="s">
        <v>959</v>
      </c>
      <c r="G31" s="242" t="s">
        <v>960</v>
      </c>
      <c r="H31" s="269" t="s">
        <v>961</v>
      </c>
      <c r="I31" s="273"/>
      <c r="J31" s="242"/>
    </row>
    <row r="32" spans="1:10" s="241" customFormat="1" ht="15" customHeight="1">
      <c r="A32" s="251" t="s">
        <v>303</v>
      </c>
      <c r="B32" s="242" t="s">
        <v>48</v>
      </c>
      <c r="C32" s="242" t="s">
        <v>927</v>
      </c>
      <c r="D32" s="242" t="s">
        <v>962</v>
      </c>
      <c r="E32" s="242" t="s">
        <v>963</v>
      </c>
      <c r="F32" s="268" t="s">
        <v>964</v>
      </c>
      <c r="G32" s="242" t="s">
        <v>965</v>
      </c>
      <c r="H32" s="269"/>
      <c r="I32" s="273"/>
      <c r="J32" s="242"/>
    </row>
    <row r="33" spans="1:10" s="241" customFormat="1" ht="15" customHeight="1">
      <c r="A33" s="268" t="s">
        <v>308</v>
      </c>
      <c r="B33" s="242" t="s">
        <v>48</v>
      </c>
      <c r="C33" s="242" t="s">
        <v>927</v>
      </c>
      <c r="D33" s="242" t="s">
        <v>966</v>
      </c>
      <c r="E33" s="242" t="s">
        <v>967</v>
      </c>
      <c r="F33" s="268" t="s">
        <v>968</v>
      </c>
      <c r="G33" s="242" t="s">
        <v>969</v>
      </c>
      <c r="H33" s="269"/>
      <c r="I33" s="273"/>
      <c r="J33" s="242"/>
    </row>
    <row r="34" spans="1:10" s="74" customFormat="1" ht="15" customHeight="1">
      <c r="A34" s="251" t="s">
        <v>313</v>
      </c>
      <c r="B34" s="242" t="s">
        <v>48</v>
      </c>
      <c r="C34" s="242" t="s">
        <v>927</v>
      </c>
      <c r="D34" s="242" t="s">
        <v>970</v>
      </c>
      <c r="E34" s="242" t="s">
        <v>971</v>
      </c>
      <c r="F34" s="268" t="s">
        <v>972</v>
      </c>
      <c r="G34" s="242" t="s">
        <v>973</v>
      </c>
      <c r="H34" s="269" t="s">
        <v>974</v>
      </c>
      <c r="I34" s="273"/>
      <c r="J34" s="242"/>
    </row>
    <row r="35" spans="1:10" s="74" customFormat="1" ht="15" customHeight="1">
      <c r="A35" s="268" t="s">
        <v>318</v>
      </c>
      <c r="B35" s="242" t="s">
        <v>48</v>
      </c>
      <c r="C35" s="242" t="s">
        <v>927</v>
      </c>
      <c r="D35" s="242" t="s">
        <v>975</v>
      </c>
      <c r="E35" s="242" t="s">
        <v>976</v>
      </c>
      <c r="F35" s="268" t="s">
        <v>977</v>
      </c>
      <c r="G35" s="242" t="s">
        <v>978</v>
      </c>
      <c r="H35" s="269" t="s">
        <v>979</v>
      </c>
      <c r="I35" s="273"/>
      <c r="J35" s="242"/>
    </row>
    <row r="36" spans="1:10" s="74" customFormat="1" ht="15" customHeight="1">
      <c r="A36" s="251" t="s">
        <v>323</v>
      </c>
      <c r="B36" s="242" t="s">
        <v>48</v>
      </c>
      <c r="C36" s="242" t="s">
        <v>927</v>
      </c>
      <c r="D36" s="242" t="s">
        <v>980</v>
      </c>
      <c r="E36" s="242" t="s">
        <v>981</v>
      </c>
      <c r="F36" s="268" t="s">
        <v>982</v>
      </c>
      <c r="G36" s="242" t="s">
        <v>983</v>
      </c>
      <c r="H36" s="269" t="s">
        <v>984</v>
      </c>
      <c r="I36" s="273"/>
      <c r="J36" s="242"/>
    </row>
    <row r="37" spans="1:10" s="74" customFormat="1" ht="15" customHeight="1">
      <c r="A37" s="268" t="s">
        <v>327</v>
      </c>
      <c r="B37" s="242" t="s">
        <v>48</v>
      </c>
      <c r="C37" s="242" t="s">
        <v>927</v>
      </c>
      <c r="D37" s="242" t="s">
        <v>985</v>
      </c>
      <c r="E37" s="242" t="s">
        <v>986</v>
      </c>
      <c r="F37" s="268" t="s">
        <v>987</v>
      </c>
      <c r="G37" s="242" t="s">
        <v>988</v>
      </c>
      <c r="H37" s="269" t="s">
        <v>989</v>
      </c>
      <c r="I37" s="273"/>
      <c r="J37" s="242"/>
    </row>
    <row r="38" spans="1:10" s="241" customFormat="1" ht="15" customHeight="1">
      <c r="A38" s="251" t="s">
        <v>333</v>
      </c>
      <c r="B38" s="242" t="s">
        <v>48</v>
      </c>
      <c r="C38" s="242" t="s">
        <v>927</v>
      </c>
      <c r="D38" s="242" t="s">
        <v>990</v>
      </c>
      <c r="E38" s="242" t="s">
        <v>991</v>
      </c>
      <c r="F38" s="268" t="s">
        <v>992</v>
      </c>
      <c r="G38" s="242" t="s">
        <v>993</v>
      </c>
      <c r="H38" s="269"/>
      <c r="I38" s="273"/>
      <c r="J38" s="242"/>
    </row>
    <row r="39" spans="1:10" s="74" customFormat="1" ht="15" customHeight="1">
      <c r="A39" s="268" t="s">
        <v>338</v>
      </c>
      <c r="B39" s="242" t="s">
        <v>48</v>
      </c>
      <c r="C39" s="242" t="s">
        <v>994</v>
      </c>
      <c r="D39" s="242" t="s">
        <v>995</v>
      </c>
      <c r="E39" s="242" t="s">
        <v>996</v>
      </c>
      <c r="F39" s="268" t="s">
        <v>997</v>
      </c>
      <c r="G39" s="242" t="s">
        <v>998</v>
      </c>
      <c r="H39" s="269" t="s">
        <v>999</v>
      </c>
      <c r="I39" s="273"/>
      <c r="J39" s="242"/>
    </row>
    <row r="40" spans="1:10" s="74" customFormat="1" ht="15" customHeight="1">
      <c r="A40" s="251" t="s">
        <v>343</v>
      </c>
      <c r="B40" s="242" t="s">
        <v>48</v>
      </c>
      <c r="C40" s="242" t="s">
        <v>1000</v>
      </c>
      <c r="D40" s="242" t="s">
        <v>1001</v>
      </c>
      <c r="E40" s="242" t="s">
        <v>1002</v>
      </c>
      <c r="F40" s="268" t="s">
        <v>1003</v>
      </c>
      <c r="G40" s="242" t="s">
        <v>1004</v>
      </c>
      <c r="H40" s="269" t="s">
        <v>1005</v>
      </c>
      <c r="I40" s="273"/>
      <c r="J40" s="243"/>
    </row>
    <row r="41" spans="1:10" s="74" customFormat="1" ht="15" customHeight="1">
      <c r="A41" s="268" t="s">
        <v>349</v>
      </c>
      <c r="B41" s="242" t="s">
        <v>48</v>
      </c>
      <c r="C41" s="242" t="s">
        <v>1006</v>
      </c>
      <c r="D41" s="242" t="s">
        <v>1007</v>
      </c>
      <c r="E41" s="242" t="s">
        <v>1008</v>
      </c>
      <c r="F41" s="268" t="s">
        <v>1009</v>
      </c>
      <c r="G41" s="242" t="s">
        <v>1010</v>
      </c>
      <c r="H41" s="269" t="s">
        <v>1011</v>
      </c>
      <c r="I41" s="273"/>
      <c r="J41" s="243"/>
    </row>
    <row r="42" spans="1:10" s="74" customFormat="1" ht="15" customHeight="1">
      <c r="A42" s="251" t="s">
        <v>354</v>
      </c>
      <c r="B42" s="242" t="s">
        <v>48</v>
      </c>
      <c r="C42" s="242" t="s">
        <v>1012</v>
      </c>
      <c r="D42" s="242" t="s">
        <v>1013</v>
      </c>
      <c r="E42" s="242" t="s">
        <v>1014</v>
      </c>
      <c r="F42" s="268" t="s">
        <v>1015</v>
      </c>
      <c r="G42" s="242" t="s">
        <v>1016</v>
      </c>
      <c r="H42" s="269" t="s">
        <v>1017</v>
      </c>
      <c r="I42" s="273"/>
      <c r="J42" s="242"/>
    </row>
    <row r="43" spans="1:10" s="74" customFormat="1" ht="15" customHeight="1">
      <c r="A43" s="268" t="s">
        <v>359</v>
      </c>
      <c r="B43" s="242" t="s">
        <v>48</v>
      </c>
      <c r="C43" s="242" t="s">
        <v>1012</v>
      </c>
      <c r="D43" s="242" t="s">
        <v>1018</v>
      </c>
      <c r="E43" s="242" t="s">
        <v>1019</v>
      </c>
      <c r="F43" s="268" t="s">
        <v>1020</v>
      </c>
      <c r="G43" s="242" t="s">
        <v>1021</v>
      </c>
      <c r="H43" s="269" t="s">
        <v>1022</v>
      </c>
      <c r="I43" s="273"/>
      <c r="J43" s="242"/>
    </row>
    <row r="44" spans="1:10" s="74" customFormat="1" ht="15" customHeight="1">
      <c r="A44" s="251" t="s">
        <v>363</v>
      </c>
      <c r="B44" s="242" t="s">
        <v>48</v>
      </c>
      <c r="C44" s="242" t="s">
        <v>1012</v>
      </c>
      <c r="D44" s="242" t="s">
        <v>1023</v>
      </c>
      <c r="E44" s="242" t="s">
        <v>1024</v>
      </c>
      <c r="F44" s="268" t="s">
        <v>1025</v>
      </c>
      <c r="G44" s="242" t="s">
        <v>1026</v>
      </c>
      <c r="H44" s="269" t="s">
        <v>1027</v>
      </c>
      <c r="I44" s="273"/>
      <c r="J44" s="242"/>
    </row>
    <row r="45" spans="1:10" s="74" customFormat="1" ht="15" customHeight="1">
      <c r="A45" s="268" t="s">
        <v>368</v>
      </c>
      <c r="B45" s="242" t="s">
        <v>48</v>
      </c>
      <c r="C45" s="242" t="s">
        <v>1028</v>
      </c>
      <c r="D45" s="242" t="s">
        <v>1029</v>
      </c>
      <c r="E45" s="242" t="s">
        <v>1030</v>
      </c>
      <c r="F45" s="268" t="s">
        <v>1031</v>
      </c>
      <c r="G45" s="242" t="s">
        <v>1032</v>
      </c>
      <c r="H45" s="269" t="s">
        <v>1033</v>
      </c>
      <c r="I45" s="252"/>
      <c r="J45" s="244"/>
    </row>
    <row r="46" spans="1:10" s="74" customFormat="1" ht="15" customHeight="1">
      <c r="A46" s="251" t="s">
        <v>372</v>
      </c>
      <c r="B46" s="242" t="s">
        <v>48</v>
      </c>
      <c r="C46" s="242" t="s">
        <v>1028</v>
      </c>
      <c r="D46" s="242" t="s">
        <v>1034</v>
      </c>
      <c r="E46" s="242" t="s">
        <v>1035</v>
      </c>
      <c r="F46" s="268" t="s">
        <v>1036</v>
      </c>
      <c r="G46" s="242" t="s">
        <v>1037</v>
      </c>
      <c r="H46" s="269" t="s">
        <v>1038</v>
      </c>
      <c r="I46" s="273"/>
      <c r="J46" s="268"/>
    </row>
    <row r="47" spans="1:10" ht="15" customHeight="1">
      <c r="A47" s="268" t="s">
        <v>377</v>
      </c>
      <c r="B47" s="242" t="s">
        <v>48</v>
      </c>
      <c r="C47" s="242" t="s">
        <v>1039</v>
      </c>
      <c r="D47" s="242" t="s">
        <v>1040</v>
      </c>
      <c r="E47" s="242" t="s">
        <v>1041</v>
      </c>
      <c r="F47" s="268" t="s">
        <v>1042</v>
      </c>
      <c r="G47" s="242" t="s">
        <v>1043</v>
      </c>
      <c r="H47" s="254"/>
      <c r="I47" s="273"/>
      <c r="J47" s="268"/>
    </row>
    <row r="48" spans="1:10" s="2" customFormat="1" ht="15" customHeight="1">
      <c r="A48" s="251" t="s">
        <v>382</v>
      </c>
      <c r="B48" s="242" t="s">
        <v>48</v>
      </c>
      <c r="C48" s="242" t="s">
        <v>1039</v>
      </c>
      <c r="D48" s="242" t="s">
        <v>1044</v>
      </c>
      <c r="E48" s="242" t="s">
        <v>1045</v>
      </c>
      <c r="F48" s="268" t="s">
        <v>1046</v>
      </c>
      <c r="G48" s="242" t="s">
        <v>1047</v>
      </c>
      <c r="H48" s="254" t="s">
        <v>1048</v>
      </c>
      <c r="I48" s="252"/>
      <c r="J48" s="242"/>
    </row>
    <row r="49" spans="1:10" s="74" customFormat="1" ht="15" customHeight="1">
      <c r="A49" s="268" t="s">
        <v>386</v>
      </c>
      <c r="B49" s="242" t="s">
        <v>48</v>
      </c>
      <c r="C49" s="242" t="s">
        <v>1049</v>
      </c>
      <c r="D49" s="242" t="s">
        <v>1050</v>
      </c>
      <c r="E49" s="242" t="s">
        <v>1051</v>
      </c>
      <c r="F49" s="268" t="s">
        <v>1052</v>
      </c>
      <c r="G49" s="242" t="s">
        <v>1053</v>
      </c>
      <c r="H49" s="269" t="s">
        <v>1054</v>
      </c>
      <c r="I49" s="252"/>
      <c r="J49" s="268"/>
    </row>
    <row r="50" spans="1:10" s="2" customFormat="1" ht="15" customHeight="1">
      <c r="A50" s="251" t="s">
        <v>390</v>
      </c>
      <c r="B50" s="242" t="s">
        <v>48</v>
      </c>
      <c r="C50" s="242" t="s">
        <v>1049</v>
      </c>
      <c r="D50" s="242" t="s">
        <v>598</v>
      </c>
      <c r="E50" s="242" t="s">
        <v>1055</v>
      </c>
      <c r="F50" s="268" t="s">
        <v>1056</v>
      </c>
      <c r="G50" s="242" t="s">
        <v>1057</v>
      </c>
      <c r="H50" s="254" t="s">
        <v>1058</v>
      </c>
      <c r="I50" s="252"/>
      <c r="J50" s="256"/>
    </row>
    <row r="51" spans="1:10" s="74" customFormat="1" ht="15" customHeight="1">
      <c r="A51" s="268" t="s">
        <v>394</v>
      </c>
      <c r="B51" s="242" t="s">
        <v>48</v>
      </c>
      <c r="C51" s="242" t="s">
        <v>1049</v>
      </c>
      <c r="D51" s="242" t="s">
        <v>622</v>
      </c>
      <c r="E51" s="242" t="s">
        <v>1059</v>
      </c>
      <c r="F51" s="268" t="s">
        <v>1060</v>
      </c>
      <c r="G51" s="242" t="s">
        <v>1061</v>
      </c>
      <c r="H51" s="269" t="s">
        <v>1062</v>
      </c>
      <c r="I51" s="252"/>
      <c r="J51" s="244"/>
    </row>
    <row r="52" spans="1:10" s="74" customFormat="1" ht="15" customHeight="1">
      <c r="A52" s="251" t="s">
        <v>398</v>
      </c>
      <c r="B52" s="242" t="s">
        <v>48</v>
      </c>
      <c r="C52" s="242" t="s">
        <v>1063</v>
      </c>
      <c r="D52" s="242" t="s">
        <v>1064</v>
      </c>
      <c r="E52" s="242" t="s">
        <v>1065</v>
      </c>
      <c r="F52" s="242" t="s">
        <v>1066</v>
      </c>
      <c r="G52" s="242" t="s">
        <v>1067</v>
      </c>
      <c r="H52" s="269" t="s">
        <v>1068</v>
      </c>
      <c r="I52" s="273"/>
      <c r="J52" s="242"/>
    </row>
    <row r="53" spans="1:10" s="74" customFormat="1" ht="15" customHeight="1">
      <c r="A53" s="268" t="s">
        <v>401</v>
      </c>
      <c r="B53" s="242" t="s">
        <v>48</v>
      </c>
      <c r="C53" s="242" t="s">
        <v>1049</v>
      </c>
      <c r="D53" s="242" t="s">
        <v>1069</v>
      </c>
      <c r="E53" s="242" t="s">
        <v>1070</v>
      </c>
      <c r="F53" s="242" t="s">
        <v>1071</v>
      </c>
      <c r="G53" s="242" t="s">
        <v>1072</v>
      </c>
      <c r="H53" s="269" t="s">
        <v>1073</v>
      </c>
      <c r="I53" s="273"/>
      <c r="J53" s="242"/>
    </row>
    <row r="54" spans="1:10" s="74" customFormat="1" ht="15" customHeight="1">
      <c r="A54" s="251" t="s">
        <v>404</v>
      </c>
      <c r="B54" s="242" t="s">
        <v>48</v>
      </c>
      <c r="C54" s="242" t="s">
        <v>1074</v>
      </c>
      <c r="D54" s="242" t="s">
        <v>1075</v>
      </c>
      <c r="E54" s="242" t="s">
        <v>1076</v>
      </c>
      <c r="F54" s="242" t="s">
        <v>1077</v>
      </c>
      <c r="G54" s="242" t="s">
        <v>1078</v>
      </c>
      <c r="H54" s="269" t="s">
        <v>1079</v>
      </c>
      <c r="I54" s="273"/>
      <c r="J54" s="242"/>
    </row>
    <row r="55" spans="1:10" s="74" customFormat="1" ht="15" customHeight="1">
      <c r="A55" s="268" t="s">
        <v>407</v>
      </c>
      <c r="B55" s="242" t="s">
        <v>48</v>
      </c>
      <c r="C55" s="242" t="s">
        <v>1074</v>
      </c>
      <c r="D55" s="242" t="s">
        <v>1080</v>
      </c>
      <c r="E55" s="242" t="s">
        <v>1081</v>
      </c>
      <c r="F55" s="242" t="s">
        <v>1082</v>
      </c>
      <c r="G55" s="242" t="s">
        <v>1083</v>
      </c>
      <c r="H55" s="269" t="s">
        <v>1084</v>
      </c>
      <c r="I55" s="273"/>
      <c r="J55" s="174"/>
    </row>
    <row r="56" spans="1:10" s="74" customFormat="1" ht="15" customHeight="1">
      <c r="A56" s="251" t="s">
        <v>411</v>
      </c>
      <c r="B56" s="242" t="s">
        <v>48</v>
      </c>
      <c r="C56" s="242" t="s">
        <v>1074</v>
      </c>
      <c r="D56" s="242" t="s">
        <v>1085</v>
      </c>
      <c r="E56" s="242" t="s">
        <v>1086</v>
      </c>
      <c r="F56" s="242" t="s">
        <v>1087</v>
      </c>
      <c r="G56" s="242" t="s">
        <v>1088</v>
      </c>
      <c r="H56" s="269" t="s">
        <v>1089</v>
      </c>
      <c r="I56" s="273"/>
      <c r="J56" s="242"/>
    </row>
    <row r="57" spans="1:10" s="74" customFormat="1" ht="15" customHeight="1">
      <c r="A57" s="268" t="s">
        <v>414</v>
      </c>
      <c r="B57" s="242" t="s">
        <v>48</v>
      </c>
      <c r="C57" s="242" t="s">
        <v>1049</v>
      </c>
      <c r="D57" s="242" t="s">
        <v>1090</v>
      </c>
      <c r="E57" s="242" t="s">
        <v>1091</v>
      </c>
      <c r="F57" s="242" t="s">
        <v>1092</v>
      </c>
      <c r="G57" s="242" t="s">
        <v>1093</v>
      </c>
      <c r="H57" s="269" t="s">
        <v>1094</v>
      </c>
      <c r="I57" s="273"/>
      <c r="J57" s="242"/>
    </row>
    <row r="58" spans="1:10" s="74" customFormat="1" ht="15" customHeight="1">
      <c r="A58" s="251" t="s">
        <v>419</v>
      </c>
      <c r="B58" s="242" t="s">
        <v>48</v>
      </c>
      <c r="C58" s="242" t="s">
        <v>1049</v>
      </c>
      <c r="D58" s="242" t="s">
        <v>1095</v>
      </c>
      <c r="E58" s="242" t="s">
        <v>1096</v>
      </c>
      <c r="F58" s="242" t="s">
        <v>1097</v>
      </c>
      <c r="G58" s="242" t="s">
        <v>1098</v>
      </c>
      <c r="H58" s="269" t="s">
        <v>1099</v>
      </c>
      <c r="I58" s="273"/>
      <c r="J58" s="243"/>
    </row>
    <row r="59" spans="1:10" s="74" customFormat="1" ht="15" customHeight="1">
      <c r="A59" s="268" t="s">
        <v>424</v>
      </c>
      <c r="B59" s="242" t="s">
        <v>48</v>
      </c>
      <c r="C59" s="242" t="s">
        <v>1100</v>
      </c>
      <c r="D59" s="242" t="s">
        <v>1101</v>
      </c>
      <c r="E59" s="242" t="s">
        <v>1102</v>
      </c>
      <c r="F59" s="242" t="s">
        <v>1103</v>
      </c>
      <c r="G59" s="242" t="s">
        <v>1104</v>
      </c>
      <c r="H59" s="269" t="s">
        <v>1105</v>
      </c>
      <c r="I59" s="273"/>
      <c r="J59" s="243"/>
    </row>
    <row r="60" spans="1:10" s="74" customFormat="1" ht="15" customHeight="1">
      <c r="A60" s="251" t="s">
        <v>429</v>
      </c>
      <c r="B60" s="242" t="s">
        <v>48</v>
      </c>
      <c r="C60" s="242" t="s">
        <v>1106</v>
      </c>
      <c r="D60" s="242" t="s">
        <v>1107</v>
      </c>
      <c r="E60" s="242" t="s">
        <v>1108</v>
      </c>
      <c r="F60" s="242" t="s">
        <v>1109</v>
      </c>
      <c r="G60" s="242" t="s">
        <v>1110</v>
      </c>
      <c r="H60" s="269" t="s">
        <v>1111</v>
      </c>
      <c r="I60" s="273"/>
      <c r="J60" s="242"/>
    </row>
    <row r="61" spans="1:10" s="74" customFormat="1" ht="15" customHeight="1">
      <c r="A61" s="268" t="s">
        <v>434</v>
      </c>
      <c r="B61" s="242" t="s">
        <v>48</v>
      </c>
      <c r="C61" s="242" t="s">
        <v>1106</v>
      </c>
      <c r="D61" s="242" t="s">
        <v>1112</v>
      </c>
      <c r="E61" s="242" t="s">
        <v>1113</v>
      </c>
      <c r="F61" s="242" t="s">
        <v>1114</v>
      </c>
      <c r="G61" s="242" t="s">
        <v>1115</v>
      </c>
      <c r="H61" s="269" t="s">
        <v>1116</v>
      </c>
      <c r="I61" s="273"/>
      <c r="J61" s="242"/>
    </row>
    <row r="62" spans="1:10" s="74" customFormat="1" ht="15" customHeight="1">
      <c r="A62" s="251" t="s">
        <v>439</v>
      </c>
      <c r="B62" s="242" t="s">
        <v>48</v>
      </c>
      <c r="C62" s="242" t="s">
        <v>1117</v>
      </c>
      <c r="D62" s="242" t="s">
        <v>1118</v>
      </c>
      <c r="E62" s="242" t="s">
        <v>1119</v>
      </c>
      <c r="F62" s="242" t="s">
        <v>1120</v>
      </c>
      <c r="G62" s="242" t="s">
        <v>1121</v>
      </c>
      <c r="H62" s="269" t="s">
        <v>1122</v>
      </c>
      <c r="I62" s="273"/>
      <c r="J62" s="242"/>
    </row>
    <row r="63" spans="1:10" s="74" customFormat="1" ht="15" customHeight="1">
      <c r="A63" s="268" t="s">
        <v>443</v>
      </c>
      <c r="B63" s="242" t="s">
        <v>48</v>
      </c>
      <c r="C63" s="242" t="s">
        <v>1117</v>
      </c>
      <c r="D63" s="242" t="s">
        <v>1123</v>
      </c>
      <c r="E63" s="242" t="s">
        <v>1124</v>
      </c>
      <c r="F63" s="242" t="s">
        <v>1125</v>
      </c>
      <c r="G63" s="242" t="s">
        <v>1126</v>
      </c>
      <c r="H63" s="269" t="s">
        <v>1127</v>
      </c>
      <c r="I63" s="252"/>
      <c r="J63" s="244"/>
    </row>
    <row r="64" spans="1:10" s="74" customFormat="1" ht="15" customHeight="1">
      <c r="A64" s="251" t="s">
        <v>447</v>
      </c>
      <c r="B64" s="242" t="s">
        <v>48</v>
      </c>
      <c r="C64" s="242" t="s">
        <v>1117</v>
      </c>
      <c r="D64" s="242" t="s">
        <v>1128</v>
      </c>
      <c r="E64" s="242" t="s">
        <v>1129</v>
      </c>
      <c r="F64" s="242" t="s">
        <v>1130</v>
      </c>
      <c r="G64" s="242" t="s">
        <v>1131</v>
      </c>
      <c r="H64" s="269" t="s">
        <v>1132</v>
      </c>
      <c r="I64" s="273"/>
      <c r="J64" s="242"/>
    </row>
    <row r="65" spans="1:10" s="74" customFormat="1" ht="15" customHeight="1">
      <c r="A65" s="268" t="s">
        <v>451</v>
      </c>
      <c r="B65" s="242" t="s">
        <v>48</v>
      </c>
      <c r="C65" s="242" t="s">
        <v>1117</v>
      </c>
      <c r="D65" s="242" t="s">
        <v>1133</v>
      </c>
      <c r="E65" s="242" t="s">
        <v>1134</v>
      </c>
      <c r="F65" s="242" t="s">
        <v>1135</v>
      </c>
      <c r="G65" s="242" t="s">
        <v>1136</v>
      </c>
      <c r="H65" s="269" t="s">
        <v>1137</v>
      </c>
      <c r="I65" s="273"/>
      <c r="J65" s="242"/>
    </row>
    <row r="66" spans="1:10" s="74" customFormat="1" ht="15" customHeight="1">
      <c r="A66" s="251" t="s">
        <v>455</v>
      </c>
      <c r="B66" s="242" t="s">
        <v>48</v>
      </c>
      <c r="C66" s="242" t="s">
        <v>1138</v>
      </c>
      <c r="D66" s="242" t="s">
        <v>1139</v>
      </c>
      <c r="E66" s="242" t="s">
        <v>1140</v>
      </c>
      <c r="F66" s="242" t="s">
        <v>1141</v>
      </c>
      <c r="G66" s="242" t="s">
        <v>1142</v>
      </c>
      <c r="H66" s="269" t="s">
        <v>1143</v>
      </c>
      <c r="I66" s="273"/>
      <c r="J66" s="268"/>
    </row>
    <row r="67" spans="1:10" s="74" customFormat="1" ht="15" customHeight="1">
      <c r="A67" s="268" t="s">
        <v>459</v>
      </c>
      <c r="B67" s="242" t="s">
        <v>48</v>
      </c>
      <c r="C67" s="242" t="s">
        <v>1138</v>
      </c>
      <c r="D67" s="242" t="s">
        <v>1144</v>
      </c>
      <c r="E67" s="242" t="s">
        <v>1145</v>
      </c>
      <c r="F67" s="242" t="s">
        <v>1146</v>
      </c>
      <c r="G67" s="242" t="s">
        <v>1147</v>
      </c>
      <c r="H67" s="269" t="s">
        <v>1148</v>
      </c>
      <c r="I67" s="273"/>
      <c r="J67" s="268"/>
    </row>
    <row r="68" spans="1:10" s="74" customFormat="1" ht="15" customHeight="1">
      <c r="A68" s="251" t="s">
        <v>465</v>
      </c>
      <c r="B68" s="242" t="s">
        <v>48</v>
      </c>
      <c r="C68" s="242" t="s">
        <v>1138</v>
      </c>
      <c r="D68" s="242" t="s">
        <v>1149</v>
      </c>
      <c r="E68" s="242" t="s">
        <v>1150</v>
      </c>
      <c r="F68" s="242" t="s">
        <v>1151</v>
      </c>
      <c r="G68" s="242" t="s">
        <v>1152</v>
      </c>
      <c r="H68" s="269" t="s">
        <v>1153</v>
      </c>
      <c r="I68" s="249"/>
      <c r="J68" s="174"/>
    </row>
    <row r="69" spans="1:10" s="241" customFormat="1" ht="15" customHeight="1">
      <c r="A69" s="268" t="s">
        <v>774</v>
      </c>
      <c r="B69" s="242" t="s">
        <v>48</v>
      </c>
      <c r="C69" s="242" t="s">
        <v>1138</v>
      </c>
      <c r="D69" s="242" t="s">
        <v>622</v>
      </c>
      <c r="E69" s="242" t="s">
        <v>1154</v>
      </c>
      <c r="F69" s="242" t="s">
        <v>1155</v>
      </c>
      <c r="G69" s="242" t="s">
        <v>1156</v>
      </c>
      <c r="H69" s="269"/>
      <c r="I69" s="253"/>
      <c r="J69" s="174"/>
    </row>
    <row r="70" spans="1:10" s="74" customFormat="1" ht="15" customHeight="1">
      <c r="A70" s="251" t="s">
        <v>471</v>
      </c>
      <c r="B70" s="242" t="s">
        <v>48</v>
      </c>
      <c r="C70" s="242" t="s">
        <v>1138</v>
      </c>
      <c r="D70" s="242" t="s">
        <v>1157</v>
      </c>
      <c r="E70" s="242" t="s">
        <v>1158</v>
      </c>
      <c r="F70" s="242" t="s">
        <v>1159</v>
      </c>
      <c r="G70" s="242" t="s">
        <v>1160</v>
      </c>
      <c r="H70" s="269" t="s">
        <v>1161</v>
      </c>
      <c r="I70" s="273"/>
      <c r="J70" s="268"/>
    </row>
    <row r="71" spans="1:10" s="74" customFormat="1" ht="15" customHeight="1">
      <c r="A71" s="268" t="s">
        <v>475</v>
      </c>
      <c r="B71" s="242" t="s">
        <v>48</v>
      </c>
      <c r="C71" s="242" t="s">
        <v>1138</v>
      </c>
      <c r="D71" s="242" t="s">
        <v>1162</v>
      </c>
      <c r="E71" s="242" t="s">
        <v>1163</v>
      </c>
      <c r="F71" s="242" t="s">
        <v>1164</v>
      </c>
      <c r="G71" s="242" t="s">
        <v>1165</v>
      </c>
      <c r="H71" s="269" t="s">
        <v>1166</v>
      </c>
      <c r="I71" s="252"/>
      <c r="J71" s="244"/>
    </row>
    <row r="72" spans="1:10" s="74" customFormat="1" ht="15" customHeight="1">
      <c r="A72" s="251" t="s">
        <v>479</v>
      </c>
      <c r="B72" s="242" t="s">
        <v>48</v>
      </c>
      <c r="C72" s="242" t="s">
        <v>1138</v>
      </c>
      <c r="D72" s="242" t="s">
        <v>718</v>
      </c>
      <c r="E72" s="242" t="s">
        <v>1167</v>
      </c>
      <c r="F72" s="242" t="s">
        <v>1168</v>
      </c>
      <c r="G72" s="242" t="s">
        <v>1169</v>
      </c>
      <c r="H72" s="269" t="s">
        <v>1170</v>
      </c>
      <c r="I72" s="273"/>
      <c r="J72" s="268"/>
    </row>
    <row r="73" spans="1:10" s="74" customFormat="1" ht="15" customHeight="1">
      <c r="A73" s="268" t="s">
        <v>483</v>
      </c>
      <c r="B73" s="242" t="s">
        <v>48</v>
      </c>
      <c r="C73" s="242" t="s">
        <v>1138</v>
      </c>
      <c r="D73" s="242" t="s">
        <v>1171</v>
      </c>
      <c r="E73" s="242" t="s">
        <v>1172</v>
      </c>
      <c r="F73" s="242" t="s">
        <v>1173</v>
      </c>
      <c r="G73" s="242" t="s">
        <v>1174</v>
      </c>
      <c r="H73" s="269"/>
      <c r="I73" s="273"/>
      <c r="J73" s="268"/>
    </row>
    <row r="74" spans="1:10" s="74" customFormat="1" ht="15" customHeight="1">
      <c r="A74" s="251" t="s">
        <v>796</v>
      </c>
      <c r="B74" s="242" t="s">
        <v>48</v>
      </c>
      <c r="C74" s="242" t="s">
        <v>1138</v>
      </c>
      <c r="D74" s="242" t="s">
        <v>1175</v>
      </c>
      <c r="E74" s="242" t="s">
        <v>1176</v>
      </c>
      <c r="F74" s="242" t="s">
        <v>1177</v>
      </c>
      <c r="G74" s="242" t="s">
        <v>1178</v>
      </c>
      <c r="H74" s="269"/>
      <c r="I74" s="273"/>
      <c r="J74" s="268"/>
    </row>
    <row r="75" spans="1:10" s="74" customFormat="1" ht="15" customHeight="1">
      <c r="A75" s="268" t="s">
        <v>801</v>
      </c>
      <c r="B75" s="242" t="s">
        <v>48</v>
      </c>
      <c r="C75" s="242" t="s">
        <v>1138</v>
      </c>
      <c r="D75" s="242" t="s">
        <v>950</v>
      </c>
      <c r="E75" s="242" t="s">
        <v>1179</v>
      </c>
      <c r="F75" s="242" t="s">
        <v>1180</v>
      </c>
      <c r="G75" s="242" t="s">
        <v>1181</v>
      </c>
      <c r="H75" s="269"/>
      <c r="I75" s="273"/>
      <c r="J75" s="268"/>
    </row>
    <row r="76" spans="1:10" s="241" customFormat="1" ht="15" customHeight="1">
      <c r="A76" s="251" t="s">
        <v>806</v>
      </c>
      <c r="B76" s="242" t="s">
        <v>48</v>
      </c>
      <c r="C76" s="242" t="s">
        <v>1138</v>
      </c>
      <c r="D76" s="242" t="s">
        <v>1182</v>
      </c>
      <c r="E76" s="242" t="s">
        <v>1183</v>
      </c>
      <c r="F76" s="242" t="s">
        <v>1184</v>
      </c>
      <c r="G76" s="242" t="s">
        <v>1185</v>
      </c>
      <c r="H76" s="269"/>
      <c r="I76" s="273"/>
      <c r="J76" s="242"/>
    </row>
    <row r="77" spans="1:10" s="74" customFormat="1" ht="15" customHeight="1">
      <c r="A77" s="268" t="s">
        <v>811</v>
      </c>
      <c r="B77" s="242" t="s">
        <v>48</v>
      </c>
      <c r="C77" s="242" t="s">
        <v>1138</v>
      </c>
      <c r="D77" s="242" t="s">
        <v>1186</v>
      </c>
      <c r="E77" s="242" t="s">
        <v>1187</v>
      </c>
      <c r="F77" s="242" t="s">
        <v>1188</v>
      </c>
      <c r="G77" s="242" t="s">
        <v>1189</v>
      </c>
      <c r="H77" s="269" t="s">
        <v>1190</v>
      </c>
      <c r="I77" s="273"/>
      <c r="J77" s="268"/>
    </row>
    <row r="78" spans="1:10" s="241" customFormat="1" ht="15" customHeight="1">
      <c r="A78" s="251" t="s">
        <v>816</v>
      </c>
      <c r="B78" s="242" t="s">
        <v>48</v>
      </c>
      <c r="C78" s="242" t="s">
        <v>1138</v>
      </c>
      <c r="D78" s="242" t="s">
        <v>1191</v>
      </c>
      <c r="E78" s="242" t="s">
        <v>1192</v>
      </c>
      <c r="F78" s="242" t="s">
        <v>1193</v>
      </c>
      <c r="G78" s="242" t="s">
        <v>1194</v>
      </c>
      <c r="H78" s="269"/>
      <c r="I78" s="273"/>
      <c r="J78" s="242"/>
    </row>
    <row r="79" spans="1:10" ht="15" customHeight="1">
      <c r="A79" s="268" t="s">
        <v>821</v>
      </c>
      <c r="B79" s="242" t="s">
        <v>48</v>
      </c>
      <c r="C79" s="242" t="s">
        <v>1138</v>
      </c>
      <c r="D79" s="242" t="s">
        <v>1195</v>
      </c>
      <c r="E79" s="242" t="s">
        <v>1196</v>
      </c>
      <c r="F79" s="242" t="s">
        <v>1197</v>
      </c>
      <c r="G79" s="242" t="s">
        <v>1198</v>
      </c>
      <c r="H79" s="255"/>
      <c r="I79" s="273"/>
      <c r="J79" s="268"/>
    </row>
    <row r="80" spans="1:10" s="74" customFormat="1" ht="15" customHeight="1">
      <c r="A80" s="251" t="s">
        <v>826</v>
      </c>
      <c r="B80" s="242" t="s">
        <v>48</v>
      </c>
      <c r="C80" s="242" t="s">
        <v>1199</v>
      </c>
      <c r="D80" s="242" t="s">
        <v>1200</v>
      </c>
      <c r="E80" s="242" t="s">
        <v>1201</v>
      </c>
      <c r="F80" s="242" t="s">
        <v>1202</v>
      </c>
      <c r="G80" s="242" t="s">
        <v>1203</v>
      </c>
      <c r="H80" s="269" t="s">
        <v>1204</v>
      </c>
      <c r="I80" s="273"/>
      <c r="J80" s="268"/>
    </row>
    <row r="81" spans="1:10" s="74" customFormat="1" ht="15" customHeight="1">
      <c r="A81" s="268" t="s">
        <v>1205</v>
      </c>
      <c r="B81" s="242" t="s">
        <v>48</v>
      </c>
      <c r="C81" s="242" t="s">
        <v>903</v>
      </c>
      <c r="D81" s="242" t="s">
        <v>1206</v>
      </c>
      <c r="E81" s="242" t="s">
        <v>1207</v>
      </c>
      <c r="F81" s="242" t="s">
        <v>1208</v>
      </c>
      <c r="G81" s="242" t="s">
        <v>1209</v>
      </c>
      <c r="H81" s="269" t="s">
        <v>1210</v>
      </c>
      <c r="I81" s="273"/>
      <c r="J81" s="268"/>
    </row>
    <row r="82" spans="1:10" s="74" customFormat="1" ht="15" customHeight="1">
      <c r="A82" s="251" t="s">
        <v>1211</v>
      </c>
      <c r="B82" s="242" t="s">
        <v>48</v>
      </c>
      <c r="C82" s="242" t="s">
        <v>1199</v>
      </c>
      <c r="D82" s="242" t="s">
        <v>1212</v>
      </c>
      <c r="E82" s="242" t="s">
        <v>1213</v>
      </c>
      <c r="F82" s="242" t="s">
        <v>1214</v>
      </c>
      <c r="G82" s="242" t="s">
        <v>1215</v>
      </c>
      <c r="H82" s="269" t="s">
        <v>1216</v>
      </c>
      <c r="I82" s="273"/>
      <c r="J82" s="268"/>
    </row>
    <row r="83" spans="1:10" s="74" customFormat="1" ht="15" customHeight="1">
      <c r="A83" s="268" t="s">
        <v>1217</v>
      </c>
      <c r="B83" s="242" t="s">
        <v>48</v>
      </c>
      <c r="C83" s="242" t="s">
        <v>1199</v>
      </c>
      <c r="D83" s="242" t="s">
        <v>1218</v>
      </c>
      <c r="E83" s="242" t="s">
        <v>1219</v>
      </c>
      <c r="F83" s="242" t="s">
        <v>1220</v>
      </c>
      <c r="G83" s="242" t="s">
        <v>1221</v>
      </c>
      <c r="H83" s="269" t="s">
        <v>1222</v>
      </c>
      <c r="I83" s="252"/>
      <c r="J83" s="244"/>
    </row>
    <row r="84" spans="1:10" s="74" customFormat="1" ht="15" customHeight="1">
      <c r="A84" s="251" t="s">
        <v>1223</v>
      </c>
      <c r="B84" s="242" t="s">
        <v>48</v>
      </c>
      <c r="C84" s="242" t="s">
        <v>1199</v>
      </c>
      <c r="D84" s="242" t="s">
        <v>1224</v>
      </c>
      <c r="E84" s="242" t="s">
        <v>1225</v>
      </c>
      <c r="F84" s="242" t="s">
        <v>1226</v>
      </c>
      <c r="G84" s="242" t="s">
        <v>1227</v>
      </c>
      <c r="H84" s="269" t="s">
        <v>1228</v>
      </c>
      <c r="I84" s="273"/>
      <c r="J84" s="268"/>
    </row>
    <row r="85" spans="1:10" s="75" customFormat="1" ht="15" customHeight="1">
      <c r="A85" s="268" t="s">
        <v>1229</v>
      </c>
      <c r="B85" s="244" t="s">
        <v>48</v>
      </c>
      <c r="C85" s="244" t="s">
        <v>903</v>
      </c>
      <c r="D85" s="244" t="s">
        <v>718</v>
      </c>
      <c r="E85" s="244" t="s">
        <v>1230</v>
      </c>
      <c r="F85" s="242" t="s">
        <v>1231</v>
      </c>
      <c r="G85" s="244" t="s">
        <v>1232</v>
      </c>
      <c r="H85" s="257" t="s">
        <v>1233</v>
      </c>
      <c r="I85" s="252"/>
      <c r="J85" s="251"/>
    </row>
    <row r="86" spans="1:10" s="241" customFormat="1" ht="15" customHeight="1">
      <c r="A86" s="251" t="s">
        <v>1234</v>
      </c>
      <c r="B86" s="242" t="s">
        <v>48</v>
      </c>
      <c r="C86" s="242" t="s">
        <v>1199</v>
      </c>
      <c r="D86" s="242" t="s">
        <v>1235</v>
      </c>
      <c r="E86" s="242" t="s">
        <v>1236</v>
      </c>
      <c r="F86" s="242" t="s">
        <v>1237</v>
      </c>
      <c r="G86" s="242" t="s">
        <v>1238</v>
      </c>
      <c r="H86" s="269"/>
      <c r="I86" s="273"/>
      <c r="J86" s="268"/>
    </row>
    <row r="87" spans="1:10" s="241" customFormat="1" ht="15" customHeight="1">
      <c r="A87" s="268" t="s">
        <v>1239</v>
      </c>
      <c r="B87" s="242" t="s">
        <v>48</v>
      </c>
      <c r="C87" s="242" t="s">
        <v>903</v>
      </c>
      <c r="D87" s="242" t="s">
        <v>1240</v>
      </c>
      <c r="E87" s="242" t="s">
        <v>1241</v>
      </c>
      <c r="F87" s="242" t="s">
        <v>1242</v>
      </c>
      <c r="G87" s="242" t="s">
        <v>1243</v>
      </c>
      <c r="H87" s="269"/>
      <c r="I87" s="273"/>
      <c r="J87" s="268"/>
    </row>
    <row r="88" spans="1:10" s="74" customFormat="1" ht="15" customHeight="1">
      <c r="A88" s="251" t="s">
        <v>1244</v>
      </c>
      <c r="B88" s="242" t="s">
        <v>48</v>
      </c>
      <c r="C88" s="242" t="s">
        <v>1199</v>
      </c>
      <c r="D88" s="242" t="s">
        <v>1245</v>
      </c>
      <c r="E88" s="242" t="s">
        <v>1246</v>
      </c>
      <c r="F88" s="242" t="s">
        <v>1247</v>
      </c>
      <c r="G88" s="242" t="s">
        <v>1248</v>
      </c>
      <c r="H88" s="269" t="s">
        <v>1249</v>
      </c>
      <c r="I88" s="273"/>
      <c r="J88" s="268"/>
    </row>
    <row r="89" spans="1:10" s="74" customFormat="1" ht="15" customHeight="1">
      <c r="A89" s="268" t="s">
        <v>1250</v>
      </c>
      <c r="B89" s="242" t="s">
        <v>48</v>
      </c>
      <c r="C89" s="242" t="s">
        <v>1251</v>
      </c>
      <c r="D89" s="242" t="s">
        <v>1252</v>
      </c>
      <c r="E89" s="242" t="s">
        <v>1253</v>
      </c>
      <c r="F89" s="242" t="s">
        <v>1254</v>
      </c>
      <c r="G89" s="242" t="s">
        <v>1255</v>
      </c>
      <c r="H89" s="269" t="s">
        <v>1256</v>
      </c>
      <c r="I89" s="273"/>
      <c r="J89" s="268"/>
    </row>
    <row r="90" spans="1:10" s="241" customFormat="1" ht="15" customHeight="1">
      <c r="A90" s="251" t="s">
        <v>1257</v>
      </c>
      <c r="B90" s="242" t="s">
        <v>48</v>
      </c>
      <c r="C90" s="242" t="s">
        <v>1245</v>
      </c>
      <c r="D90" s="242" t="s">
        <v>1258</v>
      </c>
      <c r="E90" s="242" t="s">
        <v>1259</v>
      </c>
      <c r="F90" s="242" t="s">
        <v>1260</v>
      </c>
      <c r="G90" s="242" t="s">
        <v>1261</v>
      </c>
      <c r="H90" s="269"/>
      <c r="I90" s="273"/>
      <c r="J90" s="268"/>
    </row>
    <row r="91" spans="1:10" s="74" customFormat="1" ht="15" customHeight="1">
      <c r="A91" s="268" t="s">
        <v>1262</v>
      </c>
      <c r="B91" s="242" t="s">
        <v>48</v>
      </c>
      <c r="C91" s="242" t="s">
        <v>1245</v>
      </c>
      <c r="D91" s="242" t="s">
        <v>1263</v>
      </c>
      <c r="E91" s="242" t="s">
        <v>1264</v>
      </c>
      <c r="F91" s="242" t="s">
        <v>1265</v>
      </c>
      <c r="G91" s="242" t="s">
        <v>1266</v>
      </c>
      <c r="H91" s="258" t="s">
        <v>1267</v>
      </c>
      <c r="I91" s="273"/>
      <c r="J91" s="268"/>
    </row>
    <row r="92" spans="1:10" s="74" customFormat="1" ht="15" customHeight="1">
      <c r="A92" s="251" t="s">
        <v>1268</v>
      </c>
      <c r="B92" s="242" t="s">
        <v>48</v>
      </c>
      <c r="C92" s="242" t="s">
        <v>1251</v>
      </c>
      <c r="D92" s="242" t="s">
        <v>1269</v>
      </c>
      <c r="E92" s="242" t="s">
        <v>1270</v>
      </c>
      <c r="F92" s="242" t="s">
        <v>1271</v>
      </c>
      <c r="G92" s="242" t="s">
        <v>1272</v>
      </c>
      <c r="H92" s="258" t="s">
        <v>1273</v>
      </c>
      <c r="I92" s="273"/>
      <c r="J92" s="268"/>
    </row>
    <row r="93" spans="1:10" s="74" customFormat="1" ht="15" customHeight="1">
      <c r="A93" s="268" t="s">
        <v>1274</v>
      </c>
      <c r="B93" s="242" t="s">
        <v>48</v>
      </c>
      <c r="C93" s="242" t="s">
        <v>1251</v>
      </c>
      <c r="D93" s="242" t="s">
        <v>1275</v>
      </c>
      <c r="E93" s="242" t="s">
        <v>1276</v>
      </c>
      <c r="F93" s="242" t="s">
        <v>1277</v>
      </c>
      <c r="G93" s="242" t="s">
        <v>1278</v>
      </c>
      <c r="H93" s="269" t="s">
        <v>1279</v>
      </c>
      <c r="I93" s="273"/>
      <c r="J93" s="268"/>
    </row>
    <row r="94" spans="1:10" s="74" customFormat="1" ht="15" customHeight="1">
      <c r="A94" s="251" t="s">
        <v>1280</v>
      </c>
      <c r="B94" s="242" t="s">
        <v>48</v>
      </c>
      <c r="C94" s="242" t="s">
        <v>1251</v>
      </c>
      <c r="D94" s="242" t="s">
        <v>1281</v>
      </c>
      <c r="E94" s="242" t="s">
        <v>1282</v>
      </c>
      <c r="F94" s="242" t="s">
        <v>1283</v>
      </c>
      <c r="G94" s="242" t="s">
        <v>1284</v>
      </c>
      <c r="H94" s="269" t="s">
        <v>1285</v>
      </c>
      <c r="I94" s="273"/>
      <c r="J94" s="268"/>
    </row>
    <row r="95" spans="1:10" s="74" customFormat="1" ht="15" customHeight="1">
      <c r="A95" s="268" t="s">
        <v>1286</v>
      </c>
      <c r="B95" s="242" t="s">
        <v>48</v>
      </c>
      <c r="C95" s="242" t="s">
        <v>1251</v>
      </c>
      <c r="D95" s="242" t="s">
        <v>1287</v>
      </c>
      <c r="E95" s="242" t="s">
        <v>1288</v>
      </c>
      <c r="F95" s="242" t="s">
        <v>1289</v>
      </c>
      <c r="G95" s="242" t="s">
        <v>1290</v>
      </c>
      <c r="H95" s="269" t="s">
        <v>1291</v>
      </c>
      <c r="I95" s="273"/>
      <c r="J95" s="268"/>
    </row>
    <row r="96" spans="1:10" s="74" customFormat="1" ht="15" customHeight="1">
      <c r="A96" s="251" t="s">
        <v>1292</v>
      </c>
      <c r="B96" s="242" t="s">
        <v>48</v>
      </c>
      <c r="C96" s="242" t="s">
        <v>1251</v>
      </c>
      <c r="D96" s="242" t="s">
        <v>1293</v>
      </c>
      <c r="E96" s="242" t="s">
        <v>1294</v>
      </c>
      <c r="F96" s="242" t="s">
        <v>1295</v>
      </c>
      <c r="G96" s="242" t="s">
        <v>1296</v>
      </c>
      <c r="H96" s="269" t="s">
        <v>1297</v>
      </c>
      <c r="I96" s="273"/>
      <c r="J96" s="268"/>
    </row>
    <row r="97" spans="1:10" s="74" customFormat="1" ht="15" customHeight="1">
      <c r="A97" s="268" t="s">
        <v>1298</v>
      </c>
      <c r="B97" s="242" t="s">
        <v>48</v>
      </c>
      <c r="C97" s="242" t="s">
        <v>1251</v>
      </c>
      <c r="D97" s="242" t="s">
        <v>1299</v>
      </c>
      <c r="E97" s="242" t="s">
        <v>1300</v>
      </c>
      <c r="F97" s="242" t="s">
        <v>1301</v>
      </c>
      <c r="G97" s="242" t="s">
        <v>1302</v>
      </c>
      <c r="H97" s="269" t="s">
        <v>1303</v>
      </c>
      <c r="I97" s="273"/>
      <c r="J97" s="268"/>
    </row>
    <row r="98" spans="1:10" s="74" customFormat="1" ht="15" customHeight="1">
      <c r="A98" s="251" t="s">
        <v>1304</v>
      </c>
      <c r="B98" s="242" t="s">
        <v>48</v>
      </c>
      <c r="C98" s="242" t="s">
        <v>1251</v>
      </c>
      <c r="D98" s="242" t="s">
        <v>1305</v>
      </c>
      <c r="E98" s="242" t="s">
        <v>1306</v>
      </c>
      <c r="F98" s="242" t="s">
        <v>1307</v>
      </c>
      <c r="G98" s="242" t="s">
        <v>1308</v>
      </c>
      <c r="H98" s="269" t="s">
        <v>1309</v>
      </c>
      <c r="I98" s="273"/>
      <c r="J98" s="268"/>
    </row>
    <row r="99" spans="1:10" s="74" customFormat="1" ht="15" customHeight="1">
      <c r="A99" s="268" t="s">
        <v>1310</v>
      </c>
      <c r="B99" s="242" t="s">
        <v>48</v>
      </c>
      <c r="C99" s="242" t="s">
        <v>1251</v>
      </c>
      <c r="D99" s="242" t="s">
        <v>1311</v>
      </c>
      <c r="E99" s="242" t="s">
        <v>1312</v>
      </c>
      <c r="F99" s="242" t="s">
        <v>1313</v>
      </c>
      <c r="G99" s="242" t="s">
        <v>1314</v>
      </c>
      <c r="H99" s="269" t="s">
        <v>1315</v>
      </c>
      <c r="I99" s="273"/>
      <c r="J99" s="268"/>
    </row>
    <row r="100" spans="1:10" s="74" customFormat="1" ht="15" customHeight="1">
      <c r="A100" s="251" t="s">
        <v>1316</v>
      </c>
      <c r="B100" s="242" t="s">
        <v>48</v>
      </c>
      <c r="C100" s="242" t="s">
        <v>1251</v>
      </c>
      <c r="D100" s="242" t="s">
        <v>1317</v>
      </c>
      <c r="E100" s="242" t="s">
        <v>1318</v>
      </c>
      <c r="F100" s="242" t="s">
        <v>1319</v>
      </c>
      <c r="G100" s="242" t="s">
        <v>1320</v>
      </c>
      <c r="H100" s="269" t="s">
        <v>1321</v>
      </c>
      <c r="I100" s="273"/>
      <c r="J100" s="268"/>
    </row>
    <row r="101" spans="1:10" s="74" customFormat="1" ht="15" customHeight="1">
      <c r="A101" s="268" t="s">
        <v>1322</v>
      </c>
      <c r="B101" s="242" t="s">
        <v>48</v>
      </c>
      <c r="C101" s="242" t="s">
        <v>1251</v>
      </c>
      <c r="D101" s="242" t="s">
        <v>1323</v>
      </c>
      <c r="E101" s="242" t="s">
        <v>1324</v>
      </c>
      <c r="F101" s="242" t="s">
        <v>1325</v>
      </c>
      <c r="G101" s="242" t="s">
        <v>1326</v>
      </c>
      <c r="H101" s="269" t="s">
        <v>1327</v>
      </c>
      <c r="I101" s="273"/>
      <c r="J101" s="268"/>
    </row>
    <row r="102" spans="1:10" s="74" customFormat="1" ht="15" customHeight="1">
      <c r="A102" s="251" t="s">
        <v>1328</v>
      </c>
      <c r="B102" s="242" t="s">
        <v>48</v>
      </c>
      <c r="C102" s="242" t="s">
        <v>1329</v>
      </c>
      <c r="D102" s="242" t="s">
        <v>1330</v>
      </c>
      <c r="E102" s="242" t="s">
        <v>1331</v>
      </c>
      <c r="F102" s="242" t="s">
        <v>1332</v>
      </c>
      <c r="G102" s="242" t="s">
        <v>1333</v>
      </c>
      <c r="H102" s="269" t="s">
        <v>1334</v>
      </c>
      <c r="I102" s="273"/>
      <c r="J102" s="268"/>
    </row>
    <row r="103" spans="1:10" s="241" customFormat="1" ht="15" customHeight="1">
      <c r="A103" s="268" t="s">
        <v>1335</v>
      </c>
      <c r="B103" s="242" t="s">
        <v>48</v>
      </c>
      <c r="C103" s="242" t="s">
        <v>1329</v>
      </c>
      <c r="D103" s="242" t="s">
        <v>1336</v>
      </c>
      <c r="E103" s="242" t="s">
        <v>1337</v>
      </c>
      <c r="F103" s="242" t="s">
        <v>1338</v>
      </c>
      <c r="G103" s="242" t="s">
        <v>1198</v>
      </c>
      <c r="H103" s="269"/>
      <c r="I103" s="273"/>
      <c r="J103" s="268"/>
    </row>
    <row r="104" spans="1:10" s="74" customFormat="1" ht="15" customHeight="1">
      <c r="A104" s="251" t="s">
        <v>1339</v>
      </c>
      <c r="B104" s="242" t="s">
        <v>48</v>
      </c>
      <c r="C104" s="242" t="s">
        <v>1329</v>
      </c>
      <c r="D104" s="242" t="s">
        <v>1340</v>
      </c>
      <c r="E104" s="242" t="s">
        <v>1341</v>
      </c>
      <c r="F104" s="242" t="s">
        <v>1342</v>
      </c>
      <c r="G104" s="242" t="s">
        <v>1343</v>
      </c>
      <c r="H104" s="269" t="s">
        <v>1344</v>
      </c>
      <c r="I104" s="273"/>
      <c r="J104" s="268"/>
    </row>
    <row r="105" spans="1:10" s="241" customFormat="1" ht="15" customHeight="1">
      <c r="A105" s="268" t="s">
        <v>1345</v>
      </c>
      <c r="B105" s="242" t="s">
        <v>48</v>
      </c>
      <c r="C105" s="242" t="s">
        <v>1329</v>
      </c>
      <c r="D105" s="242" t="s">
        <v>1346</v>
      </c>
      <c r="E105" s="242" t="s">
        <v>1347</v>
      </c>
      <c r="F105" s="242" t="s">
        <v>1348</v>
      </c>
      <c r="G105" s="242" t="s">
        <v>1349</v>
      </c>
      <c r="H105" s="269"/>
      <c r="I105" s="273"/>
      <c r="J105" s="268"/>
    </row>
    <row r="106" spans="1:10" s="241" customFormat="1" ht="15" customHeight="1">
      <c r="A106" s="251" t="s">
        <v>1350</v>
      </c>
      <c r="B106" s="242" t="s">
        <v>48</v>
      </c>
      <c r="C106" s="242" t="s">
        <v>903</v>
      </c>
      <c r="D106" s="242" t="s">
        <v>1329</v>
      </c>
      <c r="E106" s="242" t="s">
        <v>1351</v>
      </c>
      <c r="F106" s="242" t="s">
        <v>1352</v>
      </c>
      <c r="G106" s="242" t="s">
        <v>1198</v>
      </c>
      <c r="H106" s="269"/>
      <c r="I106" s="273"/>
      <c r="J106" s="268"/>
    </row>
    <row r="107" spans="1:10" s="241" customFormat="1" ht="15" customHeight="1">
      <c r="A107" s="268" t="s">
        <v>1353</v>
      </c>
      <c r="B107" s="242" t="s">
        <v>48</v>
      </c>
      <c r="C107" s="242" t="s">
        <v>1354</v>
      </c>
      <c r="D107" s="242" t="s">
        <v>1355</v>
      </c>
      <c r="E107" s="242" t="s">
        <v>1356</v>
      </c>
      <c r="F107" s="242" t="s">
        <v>1357</v>
      </c>
      <c r="G107" s="242" t="s">
        <v>1358</v>
      </c>
      <c r="H107" s="269"/>
      <c r="I107" s="253"/>
      <c r="J107" s="175"/>
    </row>
    <row r="108" spans="1:10" s="241" customFormat="1" ht="15" customHeight="1">
      <c r="A108" s="251" t="s">
        <v>1359</v>
      </c>
      <c r="B108" s="242" t="s">
        <v>48</v>
      </c>
      <c r="C108" s="242" t="s">
        <v>1354</v>
      </c>
      <c r="D108" s="242" t="s">
        <v>1355</v>
      </c>
      <c r="E108" s="242" t="s">
        <v>1360</v>
      </c>
      <c r="F108" s="242" t="s">
        <v>1361</v>
      </c>
      <c r="G108" s="242" t="s">
        <v>1362</v>
      </c>
      <c r="H108" s="269"/>
      <c r="I108" s="273"/>
      <c r="J108" s="268"/>
    </row>
    <row r="109" spans="1:10" s="241" customFormat="1" ht="15" customHeight="1">
      <c r="A109" s="268" t="s">
        <v>1363</v>
      </c>
      <c r="B109" s="242" t="s">
        <v>48</v>
      </c>
      <c r="C109" s="242" t="s">
        <v>1354</v>
      </c>
      <c r="D109" s="242" t="s">
        <v>1355</v>
      </c>
      <c r="E109" s="242" t="s">
        <v>1364</v>
      </c>
      <c r="F109" s="242" t="s">
        <v>1365</v>
      </c>
      <c r="G109" s="242" t="s">
        <v>1366</v>
      </c>
      <c r="H109" s="269"/>
      <c r="I109" s="252"/>
      <c r="J109" s="268"/>
    </row>
    <row r="110" spans="1:10" s="74" customFormat="1" ht="15" customHeight="1">
      <c r="A110" s="251" t="s">
        <v>1367</v>
      </c>
      <c r="B110" s="242" t="s">
        <v>48</v>
      </c>
      <c r="C110" s="242" t="s">
        <v>1354</v>
      </c>
      <c r="D110" s="242" t="s">
        <v>1368</v>
      </c>
      <c r="E110" s="242" t="s">
        <v>1369</v>
      </c>
      <c r="F110" s="242" t="s">
        <v>1370</v>
      </c>
      <c r="G110" s="242" t="s">
        <v>1371</v>
      </c>
      <c r="H110" s="269" t="s">
        <v>1372</v>
      </c>
      <c r="I110" s="259"/>
      <c r="J110" s="260"/>
    </row>
    <row r="111" spans="1:10" s="241" customFormat="1" ht="15" customHeight="1">
      <c r="A111" s="268" t="s">
        <v>1373</v>
      </c>
      <c r="B111" s="242" t="s">
        <v>48</v>
      </c>
      <c r="C111" s="242" t="s">
        <v>1354</v>
      </c>
      <c r="D111" s="242" t="s">
        <v>1374</v>
      </c>
      <c r="E111" s="242" t="s">
        <v>1375</v>
      </c>
      <c r="F111" s="242" t="s">
        <v>1376</v>
      </c>
      <c r="G111" s="242" t="s">
        <v>1377</v>
      </c>
      <c r="H111" s="269"/>
      <c r="I111" s="252"/>
      <c r="J111" s="268"/>
    </row>
    <row r="112" spans="1:10" s="241" customFormat="1" ht="15" customHeight="1">
      <c r="A112" s="251" t="s">
        <v>1378</v>
      </c>
      <c r="B112" s="242" t="s">
        <v>48</v>
      </c>
      <c r="C112" s="242" t="s">
        <v>1354</v>
      </c>
      <c r="D112" s="242" t="s">
        <v>1379</v>
      </c>
      <c r="E112" s="242" t="s">
        <v>1380</v>
      </c>
      <c r="F112" s="242" t="s">
        <v>1381</v>
      </c>
      <c r="G112" s="242" t="s">
        <v>1198</v>
      </c>
      <c r="H112" s="268"/>
      <c r="I112" s="253"/>
      <c r="J112" s="261"/>
    </row>
    <row r="113" spans="1:10" ht="15" customHeight="1">
      <c r="A113" s="268" t="s">
        <v>1382</v>
      </c>
      <c r="B113" s="242" t="s">
        <v>48</v>
      </c>
      <c r="C113" s="242" t="s">
        <v>1354</v>
      </c>
      <c r="D113" s="242" t="s">
        <v>1383</v>
      </c>
      <c r="E113" s="242" t="s">
        <v>1384</v>
      </c>
      <c r="F113" s="242" t="s">
        <v>1385</v>
      </c>
      <c r="G113" s="242" t="s">
        <v>1198</v>
      </c>
      <c r="H113" s="254"/>
      <c r="I113" s="253"/>
      <c r="J113" s="261"/>
    </row>
    <row r="114" spans="1:10" s="241" customFormat="1" ht="15" customHeight="1">
      <c r="A114" s="251" t="s">
        <v>1386</v>
      </c>
      <c r="B114" s="242" t="s">
        <v>48</v>
      </c>
      <c r="C114" s="242" t="s">
        <v>1251</v>
      </c>
      <c r="D114" s="242" t="s">
        <v>1387</v>
      </c>
      <c r="E114" s="242" t="s">
        <v>1388</v>
      </c>
      <c r="F114" s="242" t="s">
        <v>1389</v>
      </c>
      <c r="G114" s="242" t="s">
        <v>1390</v>
      </c>
      <c r="H114" s="174"/>
      <c r="I114" s="262"/>
      <c r="J114" s="245"/>
    </row>
    <row r="115" spans="1:10" s="241" customFormat="1" ht="15" customHeight="1">
      <c r="A115" s="268" t="s">
        <v>1391</v>
      </c>
      <c r="B115" s="242" t="s">
        <v>48</v>
      </c>
      <c r="C115" s="242" t="s">
        <v>1251</v>
      </c>
      <c r="D115" s="242" t="s">
        <v>1387</v>
      </c>
      <c r="E115" s="242" t="s">
        <v>1392</v>
      </c>
      <c r="F115" s="242" t="s">
        <v>1393</v>
      </c>
      <c r="G115" s="242" t="s">
        <v>1394</v>
      </c>
      <c r="H115" s="269"/>
      <c r="I115" s="253"/>
      <c r="J115" s="175"/>
    </row>
    <row r="116" spans="1:10" s="241" customFormat="1" ht="15" customHeight="1">
      <c r="A116" s="251" t="s">
        <v>1395</v>
      </c>
      <c r="B116" s="242" t="s">
        <v>48</v>
      </c>
      <c r="C116" s="242" t="s">
        <v>1251</v>
      </c>
      <c r="D116" s="242" t="s">
        <v>1387</v>
      </c>
      <c r="E116" s="242" t="s">
        <v>1396</v>
      </c>
      <c r="F116" s="242" t="s">
        <v>1397</v>
      </c>
      <c r="G116" s="242" t="s">
        <v>1398</v>
      </c>
      <c r="H116" s="269"/>
      <c r="I116" s="273"/>
      <c r="J116" s="268"/>
    </row>
    <row r="117" spans="1:10" s="241" customFormat="1" ht="15" customHeight="1">
      <c r="A117" s="268" t="s">
        <v>1399</v>
      </c>
      <c r="B117" s="242" t="s">
        <v>48</v>
      </c>
      <c r="C117" s="242" t="s">
        <v>1251</v>
      </c>
      <c r="D117" s="242" t="s">
        <v>1387</v>
      </c>
      <c r="E117" s="242" t="s">
        <v>1400</v>
      </c>
      <c r="F117" s="242" t="s">
        <v>1401</v>
      </c>
      <c r="G117" s="242" t="s">
        <v>1402</v>
      </c>
      <c r="H117" s="263"/>
      <c r="I117" s="273"/>
      <c r="J117" s="268"/>
    </row>
    <row r="118" spans="1:10" ht="15" customHeight="1">
      <c r="A118" s="251" t="s">
        <v>1403</v>
      </c>
      <c r="B118" s="242" t="s">
        <v>48</v>
      </c>
      <c r="C118" s="242" t="s">
        <v>1251</v>
      </c>
      <c r="D118" s="242" t="s">
        <v>1387</v>
      </c>
      <c r="E118" s="242" t="s">
        <v>1380</v>
      </c>
      <c r="F118" s="242" t="s">
        <v>1404</v>
      </c>
      <c r="G118" s="242" t="s">
        <v>1405</v>
      </c>
      <c r="H118" s="255"/>
      <c r="I118" s="273"/>
      <c r="J118" s="209"/>
    </row>
    <row r="119" spans="1:10" ht="15" customHeight="1">
      <c r="A119" s="268" t="s">
        <v>1406</v>
      </c>
      <c r="B119" s="242" t="s">
        <v>48</v>
      </c>
      <c r="C119" s="242" t="s">
        <v>1251</v>
      </c>
      <c r="D119" s="242" t="s">
        <v>1387</v>
      </c>
      <c r="E119" s="242" t="s">
        <v>1407</v>
      </c>
      <c r="F119" s="242" t="s">
        <v>1408</v>
      </c>
      <c r="G119" s="242" t="s">
        <v>1409</v>
      </c>
      <c r="H119" s="254"/>
      <c r="I119" s="273"/>
      <c r="J119" s="209"/>
    </row>
    <row r="120" spans="1:10" ht="15" customHeight="1">
      <c r="A120" s="251" t="s">
        <v>1410</v>
      </c>
      <c r="B120" s="242" t="s">
        <v>48</v>
      </c>
      <c r="C120" s="242" t="s">
        <v>1251</v>
      </c>
      <c r="D120" s="242" t="s">
        <v>1387</v>
      </c>
      <c r="E120" s="242" t="s">
        <v>1411</v>
      </c>
      <c r="F120" s="242" t="s">
        <v>1412</v>
      </c>
      <c r="G120" s="242" t="s">
        <v>1413</v>
      </c>
      <c r="H120" s="254"/>
      <c r="I120" s="273"/>
      <c r="J120" s="209"/>
    </row>
    <row r="121" spans="1:10" s="241" customFormat="1" ht="15" customHeight="1">
      <c r="A121" s="268" t="s">
        <v>1414</v>
      </c>
      <c r="B121" s="242" t="s">
        <v>48</v>
      </c>
      <c r="C121" s="242" t="s">
        <v>1251</v>
      </c>
      <c r="D121" s="242" t="s">
        <v>1387</v>
      </c>
      <c r="E121" s="242" t="s">
        <v>1415</v>
      </c>
      <c r="F121" s="242" t="s">
        <v>1416</v>
      </c>
      <c r="G121" s="242" t="s">
        <v>1417</v>
      </c>
      <c r="H121" s="268"/>
      <c r="I121" s="273"/>
      <c r="J121" s="268"/>
    </row>
    <row r="122" spans="1:10" s="241" customFormat="1" ht="15" customHeight="1">
      <c r="A122" s="251" t="s">
        <v>1418</v>
      </c>
      <c r="B122" s="242" t="s">
        <v>48</v>
      </c>
      <c r="C122" s="242" t="s">
        <v>1251</v>
      </c>
      <c r="D122" s="242" t="s">
        <v>1387</v>
      </c>
      <c r="E122" s="242" t="s">
        <v>1419</v>
      </c>
      <c r="F122" s="242" t="s">
        <v>1420</v>
      </c>
      <c r="G122" s="242" t="s">
        <v>1421</v>
      </c>
      <c r="H122" s="254"/>
      <c r="I122" s="273"/>
      <c r="J122" s="268"/>
    </row>
    <row r="123" spans="1:10" s="241" customFormat="1" ht="15" customHeight="1">
      <c r="A123" s="268" t="s">
        <v>1422</v>
      </c>
      <c r="B123" s="242" t="s">
        <v>48</v>
      </c>
      <c r="C123" s="242" t="s">
        <v>1251</v>
      </c>
      <c r="D123" s="242" t="s">
        <v>1387</v>
      </c>
      <c r="E123" s="242" t="s">
        <v>1423</v>
      </c>
      <c r="F123" s="242" t="s">
        <v>1424</v>
      </c>
      <c r="G123" s="242" t="s">
        <v>1425</v>
      </c>
      <c r="H123" s="269"/>
      <c r="I123" s="273"/>
      <c r="J123" s="268"/>
    </row>
    <row r="124" spans="1:10" s="241" customFormat="1" ht="15" customHeight="1">
      <c r="A124" s="251" t="s">
        <v>1426</v>
      </c>
      <c r="B124" s="242" t="s">
        <v>48</v>
      </c>
      <c r="C124" s="242" t="s">
        <v>1251</v>
      </c>
      <c r="D124" s="242" t="s">
        <v>1387</v>
      </c>
      <c r="E124" s="242" t="s">
        <v>1427</v>
      </c>
      <c r="F124" s="242" t="s">
        <v>1428</v>
      </c>
      <c r="G124" s="242" t="s">
        <v>1429</v>
      </c>
      <c r="H124" s="269"/>
      <c r="I124" s="273"/>
      <c r="J124" s="246"/>
    </row>
    <row r="125" spans="1:10" s="241" customFormat="1" ht="15" customHeight="1">
      <c r="A125" s="268" t="s">
        <v>1430</v>
      </c>
      <c r="B125" s="242" t="s">
        <v>48</v>
      </c>
      <c r="C125" s="242" t="s">
        <v>1251</v>
      </c>
      <c r="D125" s="242" t="s">
        <v>1387</v>
      </c>
      <c r="E125" s="242" t="s">
        <v>1431</v>
      </c>
      <c r="F125" s="242" t="s">
        <v>1432</v>
      </c>
      <c r="G125" s="242" t="s">
        <v>1433</v>
      </c>
      <c r="H125" s="269"/>
      <c r="I125" s="273"/>
      <c r="J125" s="268"/>
    </row>
    <row r="126" spans="1:10" s="241" customFormat="1" ht="15" customHeight="1">
      <c r="A126" s="251" t="s">
        <v>1434</v>
      </c>
      <c r="B126" s="244" t="s">
        <v>48</v>
      </c>
      <c r="C126" s="244" t="s">
        <v>1251</v>
      </c>
      <c r="D126" s="244" t="s">
        <v>1387</v>
      </c>
      <c r="E126" s="244" t="s">
        <v>1435</v>
      </c>
      <c r="F126" s="242" t="s">
        <v>1436</v>
      </c>
      <c r="G126" s="244" t="s">
        <v>1437</v>
      </c>
      <c r="H126" s="269"/>
      <c r="I126" s="273"/>
      <c r="J126" s="264"/>
    </row>
    <row r="127" spans="1:10" s="241" customFormat="1" ht="15" customHeight="1">
      <c r="A127" s="268" t="s">
        <v>1438</v>
      </c>
      <c r="B127" s="268" t="s">
        <v>48</v>
      </c>
      <c r="C127" s="268" t="s">
        <v>1251</v>
      </c>
      <c r="D127" s="268" t="s">
        <v>1439</v>
      </c>
      <c r="E127" s="268" t="s">
        <v>1440</v>
      </c>
      <c r="F127" s="268" t="s">
        <v>1441</v>
      </c>
      <c r="G127" s="268" t="s">
        <v>1442</v>
      </c>
      <c r="H127" s="265"/>
      <c r="I127" s="270"/>
      <c r="J127" s="266"/>
    </row>
    <row r="128" spans="1:10" s="241" customFormat="1" ht="15" customHeight="1">
      <c r="A128" s="251" t="s">
        <v>1443</v>
      </c>
      <c r="B128" s="268" t="s">
        <v>48</v>
      </c>
      <c r="C128" s="268" t="s">
        <v>1251</v>
      </c>
      <c r="D128" s="268" t="s">
        <v>1439</v>
      </c>
      <c r="E128" s="268" t="s">
        <v>1444</v>
      </c>
      <c r="F128" s="268" t="s">
        <v>1445</v>
      </c>
      <c r="G128" s="268" t="s">
        <v>1446</v>
      </c>
      <c r="H128" s="269"/>
      <c r="I128" s="270"/>
      <c r="J128" s="266"/>
    </row>
    <row r="129" spans="1:10" s="241" customFormat="1" ht="15" customHeight="1">
      <c r="A129" s="268" t="s">
        <v>1447</v>
      </c>
      <c r="B129" s="268" t="s">
        <v>48</v>
      </c>
      <c r="C129" s="268" t="s">
        <v>1251</v>
      </c>
      <c r="D129" s="268" t="s">
        <v>1439</v>
      </c>
      <c r="E129" s="268" t="s">
        <v>1448</v>
      </c>
      <c r="F129" s="268" t="s">
        <v>1449</v>
      </c>
      <c r="G129" s="268" t="s">
        <v>1450</v>
      </c>
      <c r="H129" s="269"/>
      <c r="I129" s="270"/>
      <c r="J129" s="266"/>
    </row>
    <row r="130" spans="1:10" s="241" customFormat="1" ht="15" customHeight="1">
      <c r="A130" s="251" t="s">
        <v>1451</v>
      </c>
      <c r="B130" s="268" t="s">
        <v>48</v>
      </c>
      <c r="C130" s="268" t="s">
        <v>1251</v>
      </c>
      <c r="D130" s="268" t="s">
        <v>1439</v>
      </c>
      <c r="E130" s="268" t="s">
        <v>1452</v>
      </c>
      <c r="F130" s="268" t="s">
        <v>1453</v>
      </c>
      <c r="G130" s="268" t="s">
        <v>1454</v>
      </c>
      <c r="H130" s="269"/>
      <c r="I130" s="270"/>
      <c r="J130" s="266"/>
    </row>
    <row r="131" spans="1:10" ht="15" customHeight="1">
      <c r="A131" s="268" t="s">
        <v>1455</v>
      </c>
      <c r="B131" s="268" t="s">
        <v>48</v>
      </c>
      <c r="C131" s="268" t="s">
        <v>1251</v>
      </c>
      <c r="D131" s="268" t="s">
        <v>1439</v>
      </c>
      <c r="E131" s="268" t="s">
        <v>1456</v>
      </c>
      <c r="F131" s="268" t="s">
        <v>1457</v>
      </c>
      <c r="G131" s="268" t="s">
        <v>1458</v>
      </c>
      <c r="H131" s="269"/>
      <c r="I131" s="270"/>
      <c r="J131" s="266"/>
    </row>
    <row r="132" spans="1:10" s="241" customFormat="1" ht="15" customHeight="1">
      <c r="A132" s="251" t="s">
        <v>1459</v>
      </c>
      <c r="B132" s="268" t="s">
        <v>48</v>
      </c>
      <c r="C132" s="268" t="s">
        <v>1251</v>
      </c>
      <c r="D132" s="268" t="s">
        <v>1439</v>
      </c>
      <c r="E132" s="268" t="s">
        <v>1460</v>
      </c>
      <c r="F132" s="268" t="s">
        <v>1461</v>
      </c>
      <c r="G132" s="268" t="s">
        <v>1462</v>
      </c>
      <c r="H132" s="255"/>
      <c r="I132" s="270"/>
      <c r="J132" s="266"/>
    </row>
    <row r="133" spans="1:10" s="241" customFormat="1" ht="15" customHeight="1">
      <c r="A133" s="268" t="s">
        <v>1463</v>
      </c>
      <c r="B133" s="268" t="s">
        <v>48</v>
      </c>
      <c r="C133" s="268" t="s">
        <v>1251</v>
      </c>
      <c r="D133" s="268" t="s">
        <v>1439</v>
      </c>
      <c r="E133" s="268" t="s">
        <v>1464</v>
      </c>
      <c r="F133" s="268" t="s">
        <v>1465</v>
      </c>
      <c r="G133" s="268" t="s">
        <v>1466</v>
      </c>
      <c r="H133" s="269"/>
      <c r="I133" s="270"/>
      <c r="J133" s="266"/>
    </row>
    <row r="134" spans="1:10" s="76" customFormat="1" ht="15" customHeight="1">
      <c r="A134" s="251" t="s">
        <v>1467</v>
      </c>
      <c r="B134" s="251" t="s">
        <v>48</v>
      </c>
      <c r="C134" s="251" t="s">
        <v>1251</v>
      </c>
      <c r="D134" s="251" t="s">
        <v>1439</v>
      </c>
      <c r="E134" s="251" t="s">
        <v>1468</v>
      </c>
      <c r="F134" s="251" t="s">
        <v>1469</v>
      </c>
      <c r="G134" s="251" t="s">
        <v>1470</v>
      </c>
      <c r="H134" s="174"/>
      <c r="I134" s="270"/>
      <c r="J134" s="266"/>
    </row>
    <row r="135" spans="1:10" s="241" customFormat="1" ht="15" customHeight="1">
      <c r="A135" s="268" t="s">
        <v>1471</v>
      </c>
      <c r="B135" s="268" t="s">
        <v>48</v>
      </c>
      <c r="C135" s="268" t="s">
        <v>1251</v>
      </c>
      <c r="D135" s="268" t="s">
        <v>1439</v>
      </c>
      <c r="E135" s="268" t="s">
        <v>1472</v>
      </c>
      <c r="F135" s="268" t="s">
        <v>1473</v>
      </c>
      <c r="G135" s="268" t="s">
        <v>1474</v>
      </c>
      <c r="H135" s="267"/>
      <c r="I135" s="270"/>
      <c r="J135" s="266"/>
    </row>
    <row r="136" spans="1:10" s="241" customFormat="1" ht="15" customHeight="1">
      <c r="A136" s="251" t="s">
        <v>1475</v>
      </c>
      <c r="B136" s="268" t="s">
        <v>48</v>
      </c>
      <c r="C136" s="268" t="s">
        <v>1251</v>
      </c>
      <c r="D136" s="268" t="s">
        <v>1439</v>
      </c>
      <c r="E136" s="268" t="s">
        <v>1476</v>
      </c>
      <c r="F136" s="268" t="s">
        <v>1477</v>
      </c>
      <c r="G136" s="268" t="s">
        <v>1478</v>
      </c>
      <c r="H136" s="269"/>
      <c r="I136" s="270"/>
      <c r="J136" s="266"/>
    </row>
    <row r="137" spans="1:10" ht="15" customHeight="1">
      <c r="A137" s="268" t="s">
        <v>1479</v>
      </c>
      <c r="B137" s="268" t="s">
        <v>48</v>
      </c>
      <c r="C137" s="268" t="s">
        <v>1251</v>
      </c>
      <c r="D137" s="268" t="s">
        <v>1439</v>
      </c>
      <c r="E137" s="268" t="s">
        <v>1480</v>
      </c>
      <c r="F137" s="268" t="s">
        <v>1481</v>
      </c>
      <c r="G137" s="268" t="s">
        <v>1482</v>
      </c>
      <c r="H137" s="268"/>
      <c r="I137" s="270"/>
      <c r="J137" s="266"/>
    </row>
    <row r="138" spans="1:10" s="241" customFormat="1" ht="15" customHeight="1">
      <c r="A138" s="251" t="s">
        <v>1483</v>
      </c>
      <c r="B138" s="268" t="s">
        <v>48</v>
      </c>
      <c r="C138" s="268" t="s">
        <v>1251</v>
      </c>
      <c r="D138" s="268" t="s">
        <v>1439</v>
      </c>
      <c r="E138" s="268" t="s">
        <v>1484</v>
      </c>
      <c r="F138" s="268" t="s">
        <v>1485</v>
      </c>
      <c r="G138" s="268" t="s">
        <v>1486</v>
      </c>
      <c r="H138" s="254"/>
      <c r="I138" s="270"/>
      <c r="J138" s="266"/>
    </row>
    <row r="139" spans="1:10" ht="15" customHeight="1">
      <c r="A139" s="268" t="s">
        <v>1487</v>
      </c>
      <c r="B139" s="268" t="s">
        <v>48</v>
      </c>
      <c r="C139" s="268" t="s">
        <v>1251</v>
      </c>
      <c r="D139" s="268" t="s">
        <v>1439</v>
      </c>
      <c r="E139" s="268" t="s">
        <v>1488</v>
      </c>
      <c r="F139" s="268" t="s">
        <v>1489</v>
      </c>
      <c r="G139" s="268" t="s">
        <v>1490</v>
      </c>
      <c r="H139" s="269"/>
      <c r="I139" s="270"/>
      <c r="J139" s="266"/>
    </row>
    <row r="140" spans="1:10" ht="15" customHeight="1">
      <c r="A140" s="251" t="s">
        <v>1491</v>
      </c>
      <c r="B140" s="268" t="s">
        <v>48</v>
      </c>
      <c r="C140" s="268" t="s">
        <v>1251</v>
      </c>
      <c r="D140" s="268" t="s">
        <v>1439</v>
      </c>
      <c r="E140" s="268" t="s">
        <v>1492</v>
      </c>
      <c r="F140" s="268" t="s">
        <v>1493</v>
      </c>
      <c r="G140" s="268" t="s">
        <v>1494</v>
      </c>
      <c r="H140" s="254"/>
      <c r="I140" s="270"/>
      <c r="J140" s="266"/>
    </row>
    <row r="141" spans="1:10" s="241" customFormat="1" ht="15" customHeight="1">
      <c r="A141" s="268" t="s">
        <v>1495</v>
      </c>
      <c r="B141" s="268" t="s">
        <v>48</v>
      </c>
      <c r="C141" s="268" t="s">
        <v>1251</v>
      </c>
      <c r="D141" s="268" t="s">
        <v>1439</v>
      </c>
      <c r="E141" s="268" t="s">
        <v>1496</v>
      </c>
      <c r="F141" s="268" t="s">
        <v>1497</v>
      </c>
      <c r="G141" s="268" t="s">
        <v>1498</v>
      </c>
      <c r="H141" s="254"/>
      <c r="I141" s="270"/>
      <c r="J141" s="266"/>
    </row>
    <row r="142" spans="1:10" s="241" customFormat="1" ht="15" customHeight="1">
      <c r="A142" s="251" t="s">
        <v>1499</v>
      </c>
      <c r="B142" s="251" t="s">
        <v>48</v>
      </c>
      <c r="C142" s="251" t="s">
        <v>1251</v>
      </c>
      <c r="D142" s="251" t="s">
        <v>1439</v>
      </c>
      <c r="E142" s="251" t="s">
        <v>1500</v>
      </c>
      <c r="F142" s="251" t="s">
        <v>1501</v>
      </c>
      <c r="G142" s="251" t="s">
        <v>1502</v>
      </c>
      <c r="H142" s="242"/>
      <c r="I142" s="270"/>
      <c r="J142" s="266"/>
    </row>
    <row r="143" spans="1:10" s="241" customFormat="1" ht="15" customHeight="1">
      <c r="A143" s="268" t="s">
        <v>1503</v>
      </c>
      <c r="B143" s="268" t="s">
        <v>48</v>
      </c>
      <c r="C143" s="268" t="s">
        <v>1251</v>
      </c>
      <c r="D143" s="268" t="s">
        <v>1439</v>
      </c>
      <c r="E143" s="268" t="s">
        <v>1504</v>
      </c>
      <c r="F143" s="268" t="s">
        <v>1505</v>
      </c>
      <c r="G143" s="268" t="s">
        <v>1506</v>
      </c>
      <c r="H143" s="269"/>
      <c r="I143" s="270"/>
      <c r="J143" s="271"/>
    </row>
    <row r="144" spans="1:10" s="241" customFormat="1" ht="15" customHeight="1">
      <c r="A144" s="251" t="s">
        <v>1507</v>
      </c>
      <c r="B144" s="268" t="s">
        <v>48</v>
      </c>
      <c r="C144" s="268" t="s">
        <v>1251</v>
      </c>
      <c r="D144" s="268" t="s">
        <v>1439</v>
      </c>
      <c r="E144" s="268" t="s">
        <v>1508</v>
      </c>
      <c r="F144" s="268" t="s">
        <v>1509</v>
      </c>
      <c r="G144" s="268" t="s">
        <v>1510</v>
      </c>
      <c r="H144" s="269"/>
      <c r="I144" s="273"/>
      <c r="J144" s="272"/>
    </row>
    <row r="145" spans="1:26" s="241" customFormat="1" ht="15" customHeight="1">
      <c r="A145" s="268" t="s">
        <v>1511</v>
      </c>
      <c r="B145" s="268" t="s">
        <v>48</v>
      </c>
      <c r="C145" s="268" t="s">
        <v>1251</v>
      </c>
      <c r="D145" s="268" t="s">
        <v>1439</v>
      </c>
      <c r="E145" s="268" t="s">
        <v>1512</v>
      </c>
      <c r="F145" s="268" t="s">
        <v>1513</v>
      </c>
      <c r="G145" s="268" t="s">
        <v>1514</v>
      </c>
      <c r="H145" s="269"/>
      <c r="I145" s="273"/>
      <c r="J145" s="266"/>
    </row>
    <row r="146" spans="1:26" s="241" customFormat="1" ht="15" customHeight="1">
      <c r="A146" s="251" t="s">
        <v>1515</v>
      </c>
      <c r="B146" s="268" t="s">
        <v>48</v>
      </c>
      <c r="C146" s="268" t="s">
        <v>1251</v>
      </c>
      <c r="D146" s="268" t="s">
        <v>1439</v>
      </c>
      <c r="E146" s="268" t="s">
        <v>1516</v>
      </c>
      <c r="F146" s="268" t="s">
        <v>1517</v>
      </c>
      <c r="G146" s="268" t="s">
        <v>1518</v>
      </c>
      <c r="H146" s="269"/>
      <c r="I146" s="273"/>
      <c r="J146" s="266"/>
      <c r="Z146" s="241" t="s">
        <v>1519</v>
      </c>
    </row>
    <row r="147" spans="1:26" s="241" customFormat="1" ht="15" customHeight="1">
      <c r="A147" s="268" t="s">
        <v>1520</v>
      </c>
      <c r="B147" s="268" t="s">
        <v>48</v>
      </c>
      <c r="C147" s="268" t="s">
        <v>1251</v>
      </c>
      <c r="D147" s="268" t="s">
        <v>1521</v>
      </c>
      <c r="E147" s="268" t="s">
        <v>1522</v>
      </c>
      <c r="F147" s="268" t="s">
        <v>1523</v>
      </c>
      <c r="G147" s="268" t="s">
        <v>1524</v>
      </c>
      <c r="H147" s="269"/>
      <c r="I147" s="273"/>
      <c r="J147" s="268"/>
    </row>
    <row r="148" spans="1:26" s="241" customFormat="1" ht="15" customHeight="1">
      <c r="A148" s="268" t="s">
        <v>1525</v>
      </c>
      <c r="B148" s="268" t="s">
        <v>48</v>
      </c>
      <c r="C148" s="268" t="s">
        <v>1251</v>
      </c>
      <c r="D148" s="268" t="s">
        <v>1439</v>
      </c>
      <c r="E148" s="268" t="s">
        <v>1526</v>
      </c>
      <c r="F148" s="268" t="s">
        <v>1527</v>
      </c>
      <c r="G148" s="268" t="s">
        <v>1528</v>
      </c>
      <c r="H148" s="269"/>
      <c r="I148" s="273"/>
      <c r="J148" s="268"/>
    </row>
    <row r="149" spans="1:26" ht="15" customHeight="1">
      <c r="A149" s="268" t="s">
        <v>1529</v>
      </c>
      <c r="B149" s="268" t="s">
        <v>48</v>
      </c>
      <c r="C149" s="268" t="s">
        <v>1251</v>
      </c>
      <c r="D149" s="268" t="s">
        <v>1439</v>
      </c>
      <c r="E149" s="268" t="s">
        <v>1530</v>
      </c>
      <c r="F149" s="268" t="s">
        <v>1531</v>
      </c>
      <c r="G149" s="268" t="s">
        <v>1532</v>
      </c>
      <c r="H149" s="269"/>
      <c r="I149" s="273"/>
      <c r="J149" s="268"/>
    </row>
    <row r="150" spans="1:26" ht="15" customHeight="1">
      <c r="A150" s="251" t="s">
        <v>1533</v>
      </c>
      <c r="B150" s="268" t="s">
        <v>48</v>
      </c>
      <c r="C150" s="268" t="s">
        <v>1251</v>
      </c>
      <c r="D150" s="268" t="s">
        <v>1439</v>
      </c>
      <c r="E150" s="268" t="s">
        <v>1534</v>
      </c>
      <c r="F150" s="268" t="s">
        <v>1535</v>
      </c>
      <c r="G150" s="268" t="s">
        <v>1536</v>
      </c>
      <c r="H150" s="255"/>
      <c r="I150" s="273"/>
      <c r="J150" s="268"/>
    </row>
    <row r="151" spans="1:26" ht="15" customHeight="1">
      <c r="A151" s="268" t="s">
        <v>1537</v>
      </c>
      <c r="B151" s="242" t="s">
        <v>48</v>
      </c>
      <c r="C151" s="242" t="s">
        <v>1251</v>
      </c>
      <c r="D151" s="242" t="s">
        <v>1538</v>
      </c>
      <c r="E151" s="242" t="s">
        <v>1539</v>
      </c>
      <c r="F151" s="242" t="s">
        <v>1540</v>
      </c>
      <c r="G151" s="242" t="s">
        <v>1541</v>
      </c>
      <c r="H151" s="254"/>
      <c r="I151" s="273"/>
      <c r="J151" s="268"/>
    </row>
    <row r="152" spans="1:26" s="241" customFormat="1" ht="15" customHeight="1">
      <c r="A152" s="251" t="s">
        <v>1542</v>
      </c>
      <c r="B152" s="244" t="s">
        <v>48</v>
      </c>
      <c r="C152" s="244" t="s">
        <v>1251</v>
      </c>
      <c r="D152" s="244" t="s">
        <v>1543</v>
      </c>
      <c r="E152" s="244" t="s">
        <v>1544</v>
      </c>
      <c r="F152" s="244" t="s">
        <v>1545</v>
      </c>
      <c r="G152" s="244" t="s">
        <v>1546</v>
      </c>
      <c r="H152" s="254"/>
      <c r="I152" s="253"/>
      <c r="J152" s="175"/>
    </row>
    <row r="153" spans="1:26" s="241" customFormat="1" ht="15" customHeight="1">
      <c r="A153" s="268" t="s">
        <v>1547</v>
      </c>
      <c r="B153" s="242" t="s">
        <v>48</v>
      </c>
      <c r="C153" s="242" t="s">
        <v>1548</v>
      </c>
      <c r="D153" s="242" t="s">
        <v>1549</v>
      </c>
      <c r="E153" s="242" t="s">
        <v>1550</v>
      </c>
      <c r="F153" s="242" t="s">
        <v>1551</v>
      </c>
      <c r="G153" s="242" t="s">
        <v>1552</v>
      </c>
      <c r="H153" s="265"/>
      <c r="I153" s="273"/>
      <c r="J153" s="268"/>
    </row>
    <row r="154" spans="1:26" s="241" customFormat="1" ht="15" customHeight="1">
      <c r="A154" s="251" t="s">
        <v>1553</v>
      </c>
      <c r="B154" s="242" t="s">
        <v>48</v>
      </c>
      <c r="C154" s="242" t="s">
        <v>1554</v>
      </c>
      <c r="D154" s="242" t="s">
        <v>1543</v>
      </c>
      <c r="E154" s="242" t="s">
        <v>1555</v>
      </c>
      <c r="F154" s="242" t="s">
        <v>1556</v>
      </c>
      <c r="G154" s="242" t="s">
        <v>1557</v>
      </c>
      <c r="H154" s="269"/>
      <c r="I154" s="273"/>
      <c r="J154" s="268"/>
    </row>
    <row r="155" spans="1:26" s="241" customFormat="1" ht="15" customHeight="1">
      <c r="A155" s="268" t="s">
        <v>1558</v>
      </c>
      <c r="B155" s="242" t="s">
        <v>48</v>
      </c>
      <c r="C155" s="242" t="s">
        <v>1554</v>
      </c>
      <c r="D155" s="242" t="s">
        <v>1559</v>
      </c>
      <c r="E155" s="242" t="s">
        <v>1560</v>
      </c>
      <c r="F155" s="242" t="s">
        <v>1561</v>
      </c>
      <c r="G155" s="242" t="s">
        <v>1562</v>
      </c>
      <c r="H155" s="269"/>
      <c r="I155" s="273"/>
      <c r="J155" s="268"/>
    </row>
    <row r="156" spans="1:26" s="241" customFormat="1" ht="15" customHeight="1">
      <c r="A156" s="251" t="s">
        <v>1563</v>
      </c>
      <c r="B156" s="242" t="s">
        <v>48</v>
      </c>
      <c r="C156" s="242" t="s">
        <v>1548</v>
      </c>
      <c r="D156" s="242" t="s">
        <v>1564</v>
      </c>
      <c r="E156" s="242" t="s">
        <v>1565</v>
      </c>
      <c r="F156" s="242" t="s">
        <v>1566</v>
      </c>
      <c r="G156" s="242" t="s">
        <v>1567</v>
      </c>
      <c r="H156" s="269"/>
      <c r="I156" s="273"/>
      <c r="J156" s="268"/>
    </row>
    <row r="157" spans="1:26" s="241" customFormat="1" ht="15" customHeight="1">
      <c r="A157" s="268" t="s">
        <v>1568</v>
      </c>
      <c r="B157" s="242" t="s">
        <v>48</v>
      </c>
      <c r="C157" s="242" t="s">
        <v>1548</v>
      </c>
      <c r="D157" s="242" t="s">
        <v>1569</v>
      </c>
      <c r="E157" s="242" t="s">
        <v>1570</v>
      </c>
      <c r="F157" s="242" t="s">
        <v>1571</v>
      </c>
      <c r="G157" s="242" t="s">
        <v>1572</v>
      </c>
      <c r="H157" s="269"/>
      <c r="I157" s="273"/>
      <c r="J157" s="268"/>
    </row>
    <row r="158" spans="1:26" s="241" customFormat="1" ht="15" customHeight="1">
      <c r="A158" s="251" t="s">
        <v>1573</v>
      </c>
      <c r="B158" s="242" t="s">
        <v>48</v>
      </c>
      <c r="C158" s="242" t="s">
        <v>1548</v>
      </c>
      <c r="D158" s="242" t="s">
        <v>1574</v>
      </c>
      <c r="E158" s="242" t="s">
        <v>1575</v>
      </c>
      <c r="F158" s="242" t="s">
        <v>1576</v>
      </c>
      <c r="G158" s="242" t="s">
        <v>1577</v>
      </c>
      <c r="H158" s="269"/>
      <c r="I158" s="273"/>
      <c r="J158" s="268"/>
    </row>
    <row r="159" spans="1:26" ht="15" customHeight="1">
      <c r="A159" s="268" t="s">
        <v>1578</v>
      </c>
      <c r="B159" s="242" t="s">
        <v>48</v>
      </c>
      <c r="C159" s="242" t="s">
        <v>1548</v>
      </c>
      <c r="D159" s="242" t="s">
        <v>1579</v>
      </c>
      <c r="E159" s="242" t="s">
        <v>1580</v>
      </c>
      <c r="F159" s="242" t="s">
        <v>1581</v>
      </c>
      <c r="G159" s="242" t="s">
        <v>1582</v>
      </c>
      <c r="H159" s="269"/>
      <c r="I159" s="273"/>
      <c r="J159" s="174"/>
    </row>
    <row r="160" spans="1:26" s="241" customFormat="1" ht="15" customHeight="1">
      <c r="A160" s="251" t="s">
        <v>1583</v>
      </c>
      <c r="B160" s="242" t="s">
        <v>48</v>
      </c>
      <c r="C160" s="242" t="s">
        <v>1548</v>
      </c>
      <c r="D160" s="242" t="s">
        <v>1584</v>
      </c>
      <c r="E160" s="242" t="s">
        <v>1585</v>
      </c>
      <c r="F160" s="242" t="s">
        <v>1586</v>
      </c>
      <c r="G160" s="242" t="s">
        <v>1587</v>
      </c>
      <c r="H160" s="254"/>
      <c r="I160" s="273"/>
      <c r="J160" s="268"/>
    </row>
    <row r="161" spans="1:10" s="241" customFormat="1" ht="15" customHeight="1">
      <c r="A161" s="268" t="s">
        <v>1588</v>
      </c>
      <c r="B161" s="242" t="s">
        <v>48</v>
      </c>
      <c r="C161" s="242" t="s">
        <v>1548</v>
      </c>
      <c r="D161" s="242" t="s">
        <v>1589</v>
      </c>
      <c r="E161" s="242" t="s">
        <v>1590</v>
      </c>
      <c r="F161" s="242" t="s">
        <v>1591</v>
      </c>
      <c r="G161" s="242" t="s">
        <v>1592</v>
      </c>
      <c r="H161" s="269"/>
      <c r="I161" s="273"/>
      <c r="J161" s="268"/>
    </row>
    <row r="162" spans="1:10" ht="15" customHeight="1">
      <c r="A162" s="251" t="s">
        <v>1593</v>
      </c>
      <c r="B162" s="242" t="s">
        <v>48</v>
      </c>
      <c r="C162" s="242" t="s">
        <v>1548</v>
      </c>
      <c r="D162" s="242" t="s">
        <v>1594</v>
      </c>
      <c r="E162" s="242" t="s">
        <v>1595</v>
      </c>
      <c r="F162" s="242" t="s">
        <v>1596</v>
      </c>
      <c r="G162" s="242" t="s">
        <v>1597</v>
      </c>
      <c r="H162" s="268"/>
      <c r="I162" s="273"/>
      <c r="J162" s="268"/>
    </row>
    <row r="163" spans="1:10" s="241" customFormat="1" ht="15" customHeight="1">
      <c r="A163" s="268" t="s">
        <v>1598</v>
      </c>
      <c r="B163" s="242" t="s">
        <v>48</v>
      </c>
      <c r="C163" s="242" t="s">
        <v>1548</v>
      </c>
      <c r="D163" s="242" t="s">
        <v>1599</v>
      </c>
      <c r="E163" s="242" t="s">
        <v>1600</v>
      </c>
      <c r="F163" s="242" t="s">
        <v>1601</v>
      </c>
      <c r="G163" s="242" t="s">
        <v>1602</v>
      </c>
      <c r="H163" s="254"/>
      <c r="I163" s="273"/>
      <c r="J163" s="268"/>
    </row>
    <row r="164" spans="1:10" ht="15" customHeight="1">
      <c r="A164" s="251" t="s">
        <v>1603</v>
      </c>
      <c r="B164" s="242" t="s">
        <v>48</v>
      </c>
      <c r="C164" s="242" t="s">
        <v>1548</v>
      </c>
      <c r="D164" s="242" t="s">
        <v>1604</v>
      </c>
      <c r="E164" s="242" t="s">
        <v>1605</v>
      </c>
      <c r="F164" s="242" t="s">
        <v>1606</v>
      </c>
      <c r="G164" s="242" t="s">
        <v>1607</v>
      </c>
      <c r="H164" s="269"/>
      <c r="I164" s="273"/>
      <c r="J164" s="268"/>
    </row>
    <row r="165" spans="1:10" ht="15" customHeight="1">
      <c r="A165" s="268" t="s">
        <v>1608</v>
      </c>
      <c r="B165" s="242" t="s">
        <v>48</v>
      </c>
      <c r="C165" s="242" t="s">
        <v>1548</v>
      </c>
      <c r="D165" s="242" t="s">
        <v>1538</v>
      </c>
      <c r="E165" s="242" t="s">
        <v>1609</v>
      </c>
      <c r="F165" s="242" t="s">
        <v>1610</v>
      </c>
      <c r="G165" s="242" t="s">
        <v>1611</v>
      </c>
      <c r="H165" s="254"/>
      <c r="I165" s="273"/>
      <c r="J165" s="268"/>
    </row>
    <row r="166" spans="1:10" s="241" customFormat="1" ht="15" customHeight="1">
      <c r="A166" s="251" t="s">
        <v>1612</v>
      </c>
      <c r="B166" s="242" t="s">
        <v>48</v>
      </c>
      <c r="C166" s="242" t="s">
        <v>1548</v>
      </c>
      <c r="D166" s="242" t="s">
        <v>1613</v>
      </c>
      <c r="E166" s="242" t="s">
        <v>1614</v>
      </c>
      <c r="F166" s="242" t="s">
        <v>1615</v>
      </c>
      <c r="G166" s="242" t="s">
        <v>1616</v>
      </c>
      <c r="H166" s="254"/>
      <c r="I166" s="273"/>
      <c r="J166" s="174"/>
    </row>
    <row r="167" spans="1:10" ht="15" customHeight="1">
      <c r="A167" s="268" t="s">
        <v>1617</v>
      </c>
      <c r="B167" s="242" t="s">
        <v>48</v>
      </c>
      <c r="C167" s="242" t="s">
        <v>1548</v>
      </c>
      <c r="D167" s="242" t="s">
        <v>1618</v>
      </c>
      <c r="E167" s="242" t="s">
        <v>1619</v>
      </c>
      <c r="F167" s="242" t="s">
        <v>1620</v>
      </c>
      <c r="G167" s="242" t="s">
        <v>1621</v>
      </c>
      <c r="H167" s="269"/>
      <c r="I167" s="273"/>
      <c r="J167" s="268"/>
    </row>
    <row r="168" spans="1:10" s="241" customFormat="1" ht="15" customHeight="1">
      <c r="A168" s="251" t="s">
        <v>1622</v>
      </c>
      <c r="B168" s="242" t="s">
        <v>48</v>
      </c>
      <c r="C168" s="242" t="s">
        <v>1548</v>
      </c>
      <c r="D168" s="242" t="s">
        <v>1623</v>
      </c>
      <c r="E168" s="242" t="s">
        <v>1624</v>
      </c>
      <c r="F168" s="242" t="s">
        <v>1625</v>
      </c>
      <c r="G168" s="242" t="s">
        <v>1626</v>
      </c>
      <c r="H168" s="255"/>
      <c r="I168" s="273"/>
      <c r="J168" s="268"/>
    </row>
    <row r="169" spans="1:10" ht="15" customHeight="1">
      <c r="A169" s="268" t="s">
        <v>1627</v>
      </c>
      <c r="B169" s="242" t="s">
        <v>48</v>
      </c>
      <c r="C169" s="242" t="s">
        <v>1548</v>
      </c>
      <c r="D169" s="242" t="s">
        <v>1628</v>
      </c>
      <c r="E169" s="242" t="s">
        <v>1629</v>
      </c>
      <c r="F169" s="242" t="s">
        <v>1630</v>
      </c>
      <c r="G169" s="242" t="s">
        <v>1631</v>
      </c>
      <c r="H169" s="269"/>
      <c r="I169" s="273"/>
      <c r="J169" s="206"/>
    </row>
    <row r="170" spans="1:10" ht="15" customHeight="1">
      <c r="A170" s="251" t="s">
        <v>1632</v>
      </c>
      <c r="B170" s="242" t="s">
        <v>48</v>
      </c>
      <c r="C170" s="242" t="s">
        <v>1548</v>
      </c>
      <c r="D170" s="242" t="s">
        <v>1521</v>
      </c>
      <c r="E170" s="242" t="s">
        <v>1633</v>
      </c>
      <c r="F170" s="242" t="s">
        <v>1634</v>
      </c>
      <c r="G170" s="242" t="s">
        <v>1635</v>
      </c>
      <c r="H170" s="254"/>
      <c r="I170" s="273"/>
      <c r="J170" s="268"/>
    </row>
    <row r="171" spans="1:10" ht="15" customHeight="1">
      <c r="A171" s="268" t="s">
        <v>1636</v>
      </c>
      <c r="B171" s="242" t="s">
        <v>48</v>
      </c>
      <c r="C171" s="242" t="s">
        <v>1548</v>
      </c>
      <c r="D171" s="242" t="s">
        <v>1439</v>
      </c>
      <c r="E171" s="242" t="s">
        <v>1637</v>
      </c>
      <c r="F171" s="242" t="s">
        <v>1638</v>
      </c>
      <c r="G171" s="242" t="s">
        <v>1639</v>
      </c>
      <c r="H171" s="255"/>
      <c r="I171" s="273"/>
      <c r="J171" s="209"/>
    </row>
    <row r="172" spans="1:10" s="241" customFormat="1" ht="15" customHeight="1">
      <c r="A172" s="251" t="s">
        <v>1640</v>
      </c>
      <c r="B172" s="242" t="s">
        <v>48</v>
      </c>
      <c r="C172" s="242" t="s">
        <v>1548</v>
      </c>
      <c r="D172" s="242" t="s">
        <v>1641</v>
      </c>
      <c r="E172" s="242" t="s">
        <v>1642</v>
      </c>
      <c r="F172" s="242" t="s">
        <v>1643</v>
      </c>
      <c r="G172" s="242" t="s">
        <v>1644</v>
      </c>
      <c r="H172" s="255"/>
      <c r="I172" s="273"/>
      <c r="J172" s="209"/>
    </row>
    <row r="173" spans="1:10" s="241" customFormat="1" ht="15" customHeight="1">
      <c r="A173" s="268" t="s">
        <v>1645</v>
      </c>
      <c r="B173" s="242" t="s">
        <v>48</v>
      </c>
      <c r="C173" s="242" t="s">
        <v>1548</v>
      </c>
      <c r="D173" s="242" t="s">
        <v>1646</v>
      </c>
      <c r="E173" s="242" t="s">
        <v>1647</v>
      </c>
      <c r="F173" s="242" t="s">
        <v>1648</v>
      </c>
      <c r="G173" s="242" t="s">
        <v>1649</v>
      </c>
      <c r="H173" s="174"/>
      <c r="I173" s="273"/>
      <c r="J173" s="268"/>
    </row>
    <row r="174" spans="1:10" s="241" customFormat="1" ht="15" customHeight="1">
      <c r="A174" s="251" t="s">
        <v>1650</v>
      </c>
      <c r="B174" s="242" t="s">
        <v>48</v>
      </c>
      <c r="C174" s="242" t="s">
        <v>1548</v>
      </c>
      <c r="D174" s="242" t="s">
        <v>1651</v>
      </c>
      <c r="E174" s="242" t="s">
        <v>1652</v>
      </c>
      <c r="F174" s="242" t="s">
        <v>1653</v>
      </c>
      <c r="G174" s="242" t="s">
        <v>1654</v>
      </c>
      <c r="H174" s="268"/>
      <c r="I174" s="273"/>
      <c r="J174" s="268"/>
    </row>
    <row r="175" spans="1:10" ht="15" customHeight="1">
      <c r="A175" s="268" t="s">
        <v>1655</v>
      </c>
      <c r="B175" s="242" t="s">
        <v>48</v>
      </c>
      <c r="C175" s="242" t="s">
        <v>1548</v>
      </c>
      <c r="D175" s="242" t="s">
        <v>1656</v>
      </c>
      <c r="E175" s="242" t="s">
        <v>1657</v>
      </c>
      <c r="F175" s="242" t="s">
        <v>1658</v>
      </c>
      <c r="G175" s="242" t="s">
        <v>1659</v>
      </c>
      <c r="H175" s="268"/>
      <c r="I175" s="273"/>
      <c r="J175" s="209"/>
    </row>
    <row r="176" spans="1:10" s="241" customFormat="1" ht="15" customHeight="1">
      <c r="A176" s="268" t="s">
        <v>1660</v>
      </c>
      <c r="B176" s="242" t="s">
        <v>48</v>
      </c>
      <c r="C176" s="242" t="s">
        <v>873</v>
      </c>
      <c r="D176" s="242" t="s">
        <v>1661</v>
      </c>
      <c r="E176" s="242" t="s">
        <v>1662</v>
      </c>
      <c r="F176" s="242" t="s">
        <v>1663</v>
      </c>
      <c r="G176" s="242" t="s">
        <v>1664</v>
      </c>
      <c r="H176" s="247" t="s">
        <v>1665</v>
      </c>
      <c r="I176" s="273"/>
      <c r="J176" s="268"/>
    </row>
    <row r="177" spans="1:12" s="74" customFormat="1" ht="15" customHeight="1">
      <c r="A177" s="251" t="s">
        <v>1666</v>
      </c>
      <c r="B177" s="242" t="s">
        <v>48</v>
      </c>
      <c r="C177" s="242" t="s">
        <v>873</v>
      </c>
      <c r="D177" s="242" t="s">
        <v>1667</v>
      </c>
      <c r="E177" s="242" t="s">
        <v>1668</v>
      </c>
      <c r="F177" s="242" t="s">
        <v>1669</v>
      </c>
      <c r="G177" s="242" t="s">
        <v>1670</v>
      </c>
      <c r="H177" s="254"/>
      <c r="I177" s="274"/>
      <c r="J177" s="254"/>
    </row>
    <row r="178" spans="1:12" ht="15" customHeight="1">
      <c r="A178" s="251" t="s">
        <v>1671</v>
      </c>
      <c r="B178" s="242" t="s">
        <v>48</v>
      </c>
      <c r="C178" s="242" t="s">
        <v>1672</v>
      </c>
      <c r="D178" s="242" t="s">
        <v>1672</v>
      </c>
      <c r="E178" s="242" t="s">
        <v>1673</v>
      </c>
      <c r="F178" s="242" t="s">
        <v>1674</v>
      </c>
      <c r="G178" s="242" t="s">
        <v>1675</v>
      </c>
      <c r="H178" s="268"/>
      <c r="I178" s="273"/>
      <c r="J178" s="268"/>
    </row>
    <row r="179" spans="1:12" ht="15" customHeight="1">
      <c r="A179" s="268" t="s">
        <v>1676</v>
      </c>
      <c r="B179" s="242" t="s">
        <v>48</v>
      </c>
      <c r="C179" s="242" t="s">
        <v>1548</v>
      </c>
      <c r="D179" s="242" t="s">
        <v>1656</v>
      </c>
      <c r="E179" s="242" t="s">
        <v>1677</v>
      </c>
      <c r="F179" s="242" t="s">
        <v>1678</v>
      </c>
      <c r="G179" s="242" t="s">
        <v>1679</v>
      </c>
      <c r="H179" s="255"/>
      <c r="I179" s="273"/>
      <c r="J179" s="268"/>
    </row>
    <row r="180" spans="1:12" s="241" customFormat="1" ht="15" customHeight="1">
      <c r="A180" s="251" t="s">
        <v>1680</v>
      </c>
      <c r="B180" s="242" t="s">
        <v>48</v>
      </c>
      <c r="C180" s="242" t="s">
        <v>1681</v>
      </c>
      <c r="D180" s="242" t="s">
        <v>873</v>
      </c>
      <c r="E180" s="242" t="s">
        <v>1682</v>
      </c>
      <c r="F180" s="242" t="s">
        <v>1683</v>
      </c>
      <c r="G180" s="242" t="s">
        <v>1684</v>
      </c>
      <c r="H180" s="254"/>
      <c r="I180" s="273"/>
      <c r="J180" s="268"/>
    </row>
    <row r="181" spans="1:12" s="241" customFormat="1" ht="15" customHeight="1">
      <c r="A181" s="268" t="s">
        <v>1685</v>
      </c>
      <c r="B181" s="248" t="s">
        <v>48</v>
      </c>
      <c r="C181" s="248" t="s">
        <v>1667</v>
      </c>
      <c r="D181" s="248" t="s">
        <v>1686</v>
      </c>
      <c r="E181" s="248" t="s">
        <v>1687</v>
      </c>
      <c r="F181" s="248" t="s">
        <v>1688</v>
      </c>
      <c r="G181" s="248" t="s">
        <v>1689</v>
      </c>
      <c r="H181" s="254"/>
      <c r="I181" s="253"/>
      <c r="J181" s="255"/>
    </row>
    <row r="182" spans="1:12" ht="15" customHeight="1">
      <c r="A182" s="251" t="s">
        <v>1690</v>
      </c>
      <c r="B182" s="248" t="s">
        <v>48</v>
      </c>
      <c r="C182" s="248" t="s">
        <v>1691</v>
      </c>
      <c r="D182" s="248" t="s">
        <v>1692</v>
      </c>
      <c r="E182" s="248" t="s">
        <v>1693</v>
      </c>
      <c r="F182" s="248" t="s">
        <v>1694</v>
      </c>
      <c r="G182" s="248" t="s">
        <v>1695</v>
      </c>
      <c r="H182" s="255"/>
      <c r="I182" s="253"/>
      <c r="J182" s="255"/>
    </row>
    <row r="183" spans="1:12" ht="15" customHeight="1">
      <c r="A183" s="268" t="s">
        <v>1696</v>
      </c>
      <c r="B183" s="242" t="s">
        <v>48</v>
      </c>
      <c r="C183" s="242" t="s">
        <v>1251</v>
      </c>
      <c r="D183" s="242" t="s">
        <v>1697</v>
      </c>
      <c r="E183" s="242" t="s">
        <v>1698</v>
      </c>
      <c r="F183" s="242" t="s">
        <v>1699</v>
      </c>
      <c r="G183" s="242" t="s">
        <v>1700</v>
      </c>
      <c r="H183" s="268"/>
      <c r="I183" s="273"/>
      <c r="J183" s="254"/>
    </row>
    <row r="184" spans="1:12" ht="15" customHeight="1">
      <c r="A184" s="251" t="s">
        <v>1701</v>
      </c>
      <c r="B184" s="242" t="s">
        <v>48</v>
      </c>
      <c r="C184" s="242" t="s">
        <v>1251</v>
      </c>
      <c r="D184" s="242" t="s">
        <v>1697</v>
      </c>
      <c r="E184" s="242" t="s">
        <v>1702</v>
      </c>
      <c r="F184" s="242" t="s">
        <v>1703</v>
      </c>
      <c r="G184" s="242" t="s">
        <v>1704</v>
      </c>
      <c r="H184" s="269"/>
      <c r="I184" s="253"/>
      <c r="J184" s="175"/>
    </row>
    <row r="185" spans="1:12" ht="15" customHeight="1">
      <c r="A185" s="268" t="s">
        <v>1705</v>
      </c>
      <c r="B185" s="248" t="s">
        <v>48</v>
      </c>
      <c r="C185" s="248" t="s">
        <v>1706</v>
      </c>
      <c r="D185" s="248" t="s">
        <v>1707</v>
      </c>
      <c r="E185" s="248" t="s">
        <v>1708</v>
      </c>
      <c r="F185" s="248" t="s">
        <v>1709</v>
      </c>
      <c r="G185" s="248" t="s">
        <v>1710</v>
      </c>
      <c r="H185" s="254"/>
      <c r="I185" s="273"/>
      <c r="J185" s="254"/>
      <c r="K185" s="74"/>
      <c r="L185" s="74"/>
    </row>
    <row r="186" spans="1:12" ht="15" customHeight="1">
      <c r="A186" s="251" t="s">
        <v>1711</v>
      </c>
      <c r="B186" s="248" t="s">
        <v>48</v>
      </c>
      <c r="C186" s="248" t="s">
        <v>1712</v>
      </c>
      <c r="D186" s="248" t="s">
        <v>1713</v>
      </c>
      <c r="E186" s="248" t="s">
        <v>1714</v>
      </c>
      <c r="F186" s="248" t="s">
        <v>1715</v>
      </c>
      <c r="G186" s="248" t="s">
        <v>1716</v>
      </c>
      <c r="H186" s="254"/>
      <c r="I186" s="253"/>
      <c r="J186" s="255"/>
      <c r="K186" s="74"/>
      <c r="L186" s="74"/>
    </row>
    <row r="187" spans="1:12" ht="15" customHeight="1">
      <c r="A187" s="268" t="s">
        <v>1717</v>
      </c>
      <c r="B187" s="248" t="s">
        <v>48</v>
      </c>
      <c r="C187" s="248" t="s">
        <v>1718</v>
      </c>
      <c r="D187" s="248" t="s">
        <v>1719</v>
      </c>
      <c r="E187" s="248" t="s">
        <v>1720</v>
      </c>
      <c r="F187" s="248" t="s">
        <v>1721</v>
      </c>
      <c r="G187" s="194" t="s">
        <v>1722</v>
      </c>
      <c r="H187" s="247"/>
      <c r="I187" s="273"/>
      <c r="J187" s="254"/>
      <c r="K187" s="74"/>
      <c r="L187" s="74"/>
    </row>
    <row r="188" spans="1:12" ht="15" customHeight="1">
      <c r="A188" s="251" t="s">
        <v>1723</v>
      </c>
      <c r="B188" s="248" t="s">
        <v>48</v>
      </c>
      <c r="C188" s="248" t="s">
        <v>1724</v>
      </c>
      <c r="D188" s="248" t="s">
        <v>1725</v>
      </c>
      <c r="E188" s="248" t="s">
        <v>1726</v>
      </c>
      <c r="F188" s="248" t="s">
        <v>1727</v>
      </c>
      <c r="G188" s="194" t="s">
        <v>1728</v>
      </c>
      <c r="H188" s="269"/>
      <c r="I188" s="273"/>
      <c r="J188" s="254"/>
      <c r="K188" s="74"/>
      <c r="L188" s="74"/>
    </row>
    <row r="189" spans="1:12" ht="15" customHeight="1">
      <c r="A189" s="268" t="s">
        <v>1729</v>
      </c>
      <c r="B189" s="248" t="s">
        <v>48</v>
      </c>
      <c r="C189" s="248" t="s">
        <v>1730</v>
      </c>
      <c r="D189" s="248" t="s">
        <v>1731</v>
      </c>
      <c r="E189" s="248" t="s">
        <v>1732</v>
      </c>
      <c r="F189" s="248" t="s">
        <v>1733</v>
      </c>
      <c r="G189" s="248" t="s">
        <v>1734</v>
      </c>
      <c r="H189" s="269"/>
      <c r="I189" s="273"/>
      <c r="J189" s="254"/>
      <c r="K189" s="74"/>
      <c r="L189" s="74"/>
    </row>
    <row r="190" spans="1:12" ht="15" customHeight="1">
      <c r="A190" s="251" t="s">
        <v>1735</v>
      </c>
      <c r="B190" s="248" t="s">
        <v>48</v>
      </c>
      <c r="C190" s="248" t="s">
        <v>1736</v>
      </c>
      <c r="D190" s="248" t="s">
        <v>1737</v>
      </c>
      <c r="E190" s="248" t="s">
        <v>1738</v>
      </c>
      <c r="F190" s="248" t="s">
        <v>1739</v>
      </c>
      <c r="G190" s="248" t="s">
        <v>1740</v>
      </c>
      <c r="H190" s="269"/>
      <c r="I190" s="273"/>
      <c r="J190" s="254"/>
      <c r="K190" s="74"/>
      <c r="L190" s="74"/>
    </row>
    <row r="191" spans="1:12" ht="15" customHeight="1">
      <c r="A191" s="268" t="s">
        <v>1741</v>
      </c>
      <c r="B191" s="248" t="s">
        <v>48</v>
      </c>
      <c r="C191" s="248" t="s">
        <v>1742</v>
      </c>
      <c r="D191" s="248" t="s">
        <v>1743</v>
      </c>
      <c r="E191" s="248" t="s">
        <v>1744</v>
      </c>
      <c r="F191" s="248" t="s">
        <v>1745</v>
      </c>
      <c r="G191" s="248" t="s">
        <v>1746</v>
      </c>
      <c r="H191" s="269"/>
      <c r="I191" s="273"/>
      <c r="J191" s="268"/>
      <c r="K191" s="74"/>
      <c r="L191" s="74"/>
    </row>
    <row r="192" spans="1:12" ht="15" customHeight="1">
      <c r="A192" s="251" t="s">
        <v>1747</v>
      </c>
      <c r="B192" s="248" t="s">
        <v>48</v>
      </c>
      <c r="C192" s="248" t="s">
        <v>1748</v>
      </c>
      <c r="D192" s="248" t="s">
        <v>1749</v>
      </c>
      <c r="E192" s="248" t="s">
        <v>1750</v>
      </c>
      <c r="F192" s="248" t="s">
        <v>1751</v>
      </c>
      <c r="G192" s="248" t="s">
        <v>1752</v>
      </c>
      <c r="H192" s="269"/>
      <c r="I192" s="273"/>
      <c r="J192" s="268"/>
      <c r="K192" s="74"/>
      <c r="L192" s="74"/>
    </row>
    <row r="193" spans="1:12" ht="15" customHeight="1">
      <c r="A193" s="268" t="s">
        <v>1753</v>
      </c>
      <c r="B193" s="248" t="s">
        <v>48</v>
      </c>
      <c r="C193" s="248" t="s">
        <v>1754</v>
      </c>
      <c r="D193" s="248" t="s">
        <v>1755</v>
      </c>
      <c r="E193" s="248" t="s">
        <v>1756</v>
      </c>
      <c r="F193" s="248" t="s">
        <v>1757</v>
      </c>
      <c r="G193" s="248" t="s">
        <v>1758</v>
      </c>
      <c r="H193" s="269"/>
      <c r="I193" s="273"/>
      <c r="J193" s="254"/>
      <c r="K193" s="74"/>
      <c r="L193" s="74"/>
    </row>
    <row r="194" spans="1:12" ht="15" customHeight="1">
      <c r="A194" s="251" t="s">
        <v>1759</v>
      </c>
      <c r="B194" s="248" t="s">
        <v>48</v>
      </c>
      <c r="C194" s="248" t="s">
        <v>1760</v>
      </c>
      <c r="D194" s="248" t="s">
        <v>1761</v>
      </c>
      <c r="E194" s="248" t="s">
        <v>1762</v>
      </c>
      <c r="F194" s="248" t="s">
        <v>1763</v>
      </c>
      <c r="G194" s="248" t="s">
        <v>1762</v>
      </c>
      <c r="H194" s="269"/>
      <c r="I194" s="273"/>
      <c r="J194" s="254"/>
      <c r="K194" s="74"/>
      <c r="L194" s="74"/>
    </row>
    <row r="195" spans="1:12" ht="15" customHeight="1">
      <c r="A195" s="268" t="s">
        <v>1764</v>
      </c>
      <c r="B195" s="248" t="s">
        <v>48</v>
      </c>
      <c r="C195" s="248" t="s">
        <v>1765</v>
      </c>
      <c r="D195" s="248" t="s">
        <v>1766</v>
      </c>
      <c r="E195" s="248" t="s">
        <v>1767</v>
      </c>
      <c r="F195" s="248" t="s">
        <v>1768</v>
      </c>
      <c r="G195" s="248" t="s">
        <v>1767</v>
      </c>
      <c r="H195" s="269"/>
      <c r="I195" s="273"/>
      <c r="J195" s="254"/>
      <c r="K195" s="74"/>
      <c r="L195" s="74"/>
    </row>
    <row r="196" spans="1:12" ht="15" customHeight="1">
      <c r="A196" s="251" t="s">
        <v>1769</v>
      </c>
      <c r="B196" s="248" t="s">
        <v>48</v>
      </c>
      <c r="C196" s="248" t="s">
        <v>1770</v>
      </c>
      <c r="D196" s="248" t="s">
        <v>1771</v>
      </c>
      <c r="E196" s="248" t="s">
        <v>1772</v>
      </c>
      <c r="F196" s="248" t="s">
        <v>1773</v>
      </c>
      <c r="G196" s="248" t="s">
        <v>1774</v>
      </c>
      <c r="H196" s="269"/>
      <c r="I196" s="273"/>
      <c r="J196" s="268"/>
      <c r="K196" s="74"/>
      <c r="L196" s="74"/>
    </row>
    <row r="197" spans="1:12" ht="15" customHeight="1">
      <c r="A197" s="268" t="s">
        <v>1775</v>
      </c>
      <c r="B197" s="248" t="s">
        <v>48</v>
      </c>
      <c r="C197" s="248" t="s">
        <v>1776</v>
      </c>
      <c r="D197" s="248" t="s">
        <v>1777</v>
      </c>
      <c r="E197" s="248" t="s">
        <v>1778</v>
      </c>
      <c r="F197" s="248" t="s">
        <v>1779</v>
      </c>
      <c r="G197" s="248" t="s">
        <v>1780</v>
      </c>
      <c r="H197" s="269"/>
      <c r="I197" s="273"/>
      <c r="J197" s="268"/>
      <c r="K197" s="74"/>
      <c r="L197" s="74"/>
    </row>
    <row r="198" spans="1:12" ht="15" customHeight="1">
      <c r="A198" s="251" t="s">
        <v>1781</v>
      </c>
      <c r="B198" s="248" t="s">
        <v>48</v>
      </c>
      <c r="C198" s="248" t="s">
        <v>1782</v>
      </c>
      <c r="D198" s="248" t="s">
        <v>1783</v>
      </c>
      <c r="E198" s="248" t="s">
        <v>1784</v>
      </c>
      <c r="F198" s="248" t="s">
        <v>1785</v>
      </c>
      <c r="G198" s="248" t="s">
        <v>1786</v>
      </c>
      <c r="H198" s="269"/>
      <c r="I198" s="273"/>
      <c r="J198" s="254"/>
      <c r="K198" s="74"/>
      <c r="L198" s="74"/>
    </row>
    <row r="199" spans="1:12" ht="15" customHeight="1">
      <c r="A199" s="268" t="s">
        <v>1787</v>
      </c>
      <c r="B199" s="248" t="s">
        <v>48</v>
      </c>
      <c r="C199" s="248" t="s">
        <v>1788</v>
      </c>
      <c r="D199" s="248" t="s">
        <v>1789</v>
      </c>
      <c r="E199" s="248" t="s">
        <v>1790</v>
      </c>
      <c r="F199" s="248" t="s">
        <v>1785</v>
      </c>
      <c r="G199" s="248" t="s">
        <v>1791</v>
      </c>
      <c r="H199" s="269"/>
      <c r="I199" s="273"/>
      <c r="J199" s="254"/>
      <c r="K199" s="74"/>
      <c r="L199" s="74"/>
    </row>
    <row r="200" spans="1:12" ht="15" customHeight="1">
      <c r="A200" s="251" t="s">
        <v>1792</v>
      </c>
      <c r="B200" s="248" t="s">
        <v>48</v>
      </c>
      <c r="C200" s="248" t="s">
        <v>1793</v>
      </c>
      <c r="D200" s="248" t="s">
        <v>1794</v>
      </c>
      <c r="E200" s="248" t="s">
        <v>1795</v>
      </c>
      <c r="F200" s="248" t="s">
        <v>1796</v>
      </c>
      <c r="G200" s="248" t="s">
        <v>1797</v>
      </c>
      <c r="H200" s="269"/>
      <c r="I200" s="273"/>
      <c r="J200" s="254"/>
      <c r="K200" s="74"/>
      <c r="L200" s="74"/>
    </row>
    <row r="201" spans="1:12" ht="15" customHeight="1">
      <c r="A201" s="268" t="s">
        <v>1798</v>
      </c>
      <c r="B201" s="248" t="s">
        <v>48</v>
      </c>
      <c r="C201" s="248" t="s">
        <v>1799</v>
      </c>
      <c r="D201" s="248" t="s">
        <v>1800</v>
      </c>
      <c r="E201" s="248" t="s">
        <v>1801</v>
      </c>
      <c r="F201" s="248" t="s">
        <v>1802</v>
      </c>
      <c r="G201" s="248" t="s">
        <v>1803</v>
      </c>
      <c r="H201" s="269"/>
      <c r="I201" s="273"/>
      <c r="J201" s="254"/>
      <c r="K201" s="74"/>
      <c r="L201" s="74"/>
    </row>
    <row r="202" spans="1:12" ht="15" customHeight="1">
      <c r="A202" s="251" t="s">
        <v>1804</v>
      </c>
      <c r="B202" s="248" t="s">
        <v>48</v>
      </c>
      <c r="C202" s="248" t="s">
        <v>1805</v>
      </c>
      <c r="D202" s="248" t="s">
        <v>1806</v>
      </c>
      <c r="E202" s="248" t="s">
        <v>1807</v>
      </c>
      <c r="F202" s="248" t="s">
        <v>1808</v>
      </c>
      <c r="G202" s="248" t="s">
        <v>1809</v>
      </c>
      <c r="H202" s="269"/>
      <c r="I202" s="273"/>
      <c r="J202" s="254"/>
      <c r="K202" s="74"/>
      <c r="L202" s="74"/>
    </row>
    <row r="203" spans="1:12" ht="15" customHeight="1">
      <c r="A203" s="268" t="s">
        <v>1810</v>
      </c>
      <c r="B203" s="248" t="s">
        <v>48</v>
      </c>
      <c r="C203" s="248" t="s">
        <v>1811</v>
      </c>
      <c r="D203" s="248" t="s">
        <v>1812</v>
      </c>
      <c r="E203" s="248" t="s">
        <v>1813</v>
      </c>
      <c r="F203" s="248" t="s">
        <v>1814</v>
      </c>
      <c r="G203" s="248" t="s">
        <v>1815</v>
      </c>
      <c r="H203" s="269"/>
      <c r="I203" s="273"/>
      <c r="J203" s="254"/>
      <c r="K203" s="74"/>
      <c r="L203" s="74"/>
    </row>
    <row r="204" spans="1:12" ht="15" customHeight="1">
      <c r="A204" s="251" t="s">
        <v>1816</v>
      </c>
      <c r="B204" s="248" t="s">
        <v>48</v>
      </c>
      <c r="C204" s="248" t="s">
        <v>1817</v>
      </c>
      <c r="D204" s="248" t="s">
        <v>1818</v>
      </c>
      <c r="E204" s="248" t="s">
        <v>1819</v>
      </c>
      <c r="F204" s="248" t="s">
        <v>1820</v>
      </c>
      <c r="G204" s="248" t="s">
        <v>1821</v>
      </c>
      <c r="H204" s="269"/>
      <c r="I204" s="273"/>
      <c r="J204" s="254"/>
      <c r="K204" s="74"/>
      <c r="L204" s="74"/>
    </row>
    <row r="205" spans="1:12" ht="15" customHeight="1">
      <c r="A205" s="268" t="s">
        <v>1822</v>
      </c>
      <c r="B205" s="249" t="s">
        <v>48</v>
      </c>
      <c r="C205" s="249" t="s">
        <v>1823</v>
      </c>
      <c r="D205" s="248" t="s">
        <v>1824</v>
      </c>
      <c r="E205" s="247" t="s">
        <v>1825</v>
      </c>
      <c r="F205" s="268" t="s">
        <v>1826</v>
      </c>
      <c r="G205" s="248" t="s">
        <v>1827</v>
      </c>
      <c r="H205" s="247" t="s">
        <v>1828</v>
      </c>
      <c r="I205" s="249"/>
      <c r="J205" s="247"/>
    </row>
    <row r="206" spans="1:12" ht="15" customHeight="1">
      <c r="A206" s="251" t="s">
        <v>1829</v>
      </c>
      <c r="B206" s="249" t="s">
        <v>48</v>
      </c>
      <c r="C206" s="249" t="s">
        <v>1823</v>
      </c>
      <c r="D206" s="248" t="s">
        <v>1830</v>
      </c>
      <c r="E206" s="247" t="s">
        <v>1831</v>
      </c>
      <c r="F206" s="268" t="s">
        <v>1832</v>
      </c>
      <c r="G206" s="248" t="s">
        <v>1833</v>
      </c>
      <c r="H206" s="247" t="s">
        <v>1834</v>
      </c>
      <c r="I206" s="249"/>
      <c r="J206" s="247"/>
    </row>
    <row r="207" spans="1:12" ht="15" customHeight="1">
      <c r="A207" s="268" t="s">
        <v>1835</v>
      </c>
      <c r="B207" s="249" t="s">
        <v>48</v>
      </c>
      <c r="C207" s="249" t="s">
        <v>1823</v>
      </c>
      <c r="D207" s="248" t="s">
        <v>1836</v>
      </c>
      <c r="E207" s="247" t="s">
        <v>1837</v>
      </c>
      <c r="F207" s="268" t="s">
        <v>1838</v>
      </c>
      <c r="G207" s="248" t="s">
        <v>1839</v>
      </c>
      <c r="H207" s="247" t="s">
        <v>1840</v>
      </c>
      <c r="I207" s="249"/>
      <c r="J207" s="247"/>
    </row>
    <row r="208" spans="1:12" ht="15" customHeight="1">
      <c r="A208" s="251" t="s">
        <v>1841</v>
      </c>
      <c r="B208" s="249" t="s">
        <v>48</v>
      </c>
      <c r="C208" s="249" t="s">
        <v>1823</v>
      </c>
      <c r="D208" s="248" t="s">
        <v>1439</v>
      </c>
      <c r="E208" s="247" t="s">
        <v>1842</v>
      </c>
      <c r="F208" s="268" t="s">
        <v>1843</v>
      </c>
      <c r="G208" s="248" t="s">
        <v>1844</v>
      </c>
      <c r="H208" s="247" t="s">
        <v>1845</v>
      </c>
      <c r="I208" s="249"/>
      <c r="J208" s="247"/>
    </row>
    <row r="209" spans="1:10" ht="15" customHeight="1">
      <c r="A209" s="268" t="s">
        <v>1846</v>
      </c>
      <c r="B209" s="249" t="s">
        <v>48</v>
      </c>
      <c r="C209" s="249" t="s">
        <v>1823</v>
      </c>
      <c r="D209" s="248" t="s">
        <v>1847</v>
      </c>
      <c r="E209" s="247" t="s">
        <v>1848</v>
      </c>
      <c r="F209" s="268" t="s">
        <v>1849</v>
      </c>
      <c r="G209" s="248" t="s">
        <v>1850</v>
      </c>
      <c r="H209" s="247" t="s">
        <v>1851</v>
      </c>
      <c r="I209" s="249"/>
      <c r="J209" s="247"/>
    </row>
    <row r="210" spans="1:10" ht="15" customHeight="1">
      <c r="A210" s="251" t="s">
        <v>1852</v>
      </c>
      <c r="B210" s="249" t="s">
        <v>48</v>
      </c>
      <c r="C210" s="249" t="s">
        <v>1823</v>
      </c>
      <c r="D210" s="248" t="s">
        <v>1623</v>
      </c>
      <c r="E210" s="247" t="s">
        <v>1853</v>
      </c>
      <c r="F210" s="268" t="s">
        <v>1854</v>
      </c>
      <c r="G210" s="248" t="s">
        <v>1855</v>
      </c>
      <c r="H210" s="247" t="s">
        <v>1856</v>
      </c>
      <c r="I210" s="249"/>
      <c r="J210" s="247"/>
    </row>
    <row r="211" spans="1:10" ht="15" customHeight="1">
      <c r="A211" s="268" t="s">
        <v>1857</v>
      </c>
      <c r="B211" s="249" t="s">
        <v>48</v>
      </c>
      <c r="C211" s="249" t="s">
        <v>1823</v>
      </c>
      <c r="D211" s="248" t="s">
        <v>1858</v>
      </c>
      <c r="E211" s="247" t="s">
        <v>1859</v>
      </c>
      <c r="F211" s="268" t="s">
        <v>1860</v>
      </c>
      <c r="G211" s="248" t="s">
        <v>1861</v>
      </c>
      <c r="H211" s="247" t="s">
        <v>1862</v>
      </c>
      <c r="I211" s="275"/>
      <c r="J211" s="276"/>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1"/>
  <sheetViews>
    <sheetView zoomScale="80" zoomScaleNormal="80" workbookViewId="0">
      <selection activeCell="H4" sqref="H4"/>
    </sheetView>
  </sheetViews>
  <sheetFormatPr defaultColWidth="21" defaultRowHeight="12" customHeight="1"/>
  <cols>
    <col min="1" max="1" width="7.7109375" style="48" bestFit="1" customWidth="1"/>
    <col min="2" max="2" width="10.42578125" style="48" bestFit="1" customWidth="1"/>
    <col min="3" max="3" width="13.42578125" style="48" customWidth="1"/>
    <col min="4" max="4" width="19" style="48" customWidth="1"/>
    <col min="5" max="5" width="29" style="48" customWidth="1"/>
    <col min="6" max="6" width="28.42578125" style="48" customWidth="1"/>
    <col min="7" max="7" width="30.7109375" style="48" customWidth="1"/>
    <col min="8" max="8" width="10.140625" style="2" customWidth="1"/>
    <col min="9" max="9" width="7.85546875" style="47" bestFit="1" customWidth="1"/>
    <col min="10" max="13" width="21" style="48" customWidth="1"/>
    <col min="14" max="16384" width="21" style="48"/>
  </cols>
  <sheetData>
    <row r="1" spans="1:10" s="47" customFormat="1" ht="12" customHeight="1">
      <c r="A1" s="137" t="s">
        <v>37</v>
      </c>
      <c r="B1" s="137" t="s">
        <v>38</v>
      </c>
      <c r="C1" s="137" t="s">
        <v>39</v>
      </c>
      <c r="D1" s="137" t="s">
        <v>40</v>
      </c>
      <c r="E1" s="24" t="s">
        <v>41</v>
      </c>
      <c r="F1" s="24" t="s">
        <v>42</v>
      </c>
      <c r="G1" s="25" t="s">
        <v>43</v>
      </c>
      <c r="H1" s="137" t="s">
        <v>1863</v>
      </c>
      <c r="I1" s="138" t="s">
        <v>45</v>
      </c>
      <c r="J1" s="139" t="s">
        <v>46</v>
      </c>
    </row>
    <row r="2" spans="1:10" ht="49.5" customHeight="1">
      <c r="A2" s="160" t="s">
        <v>47</v>
      </c>
      <c r="B2" s="9" t="s">
        <v>1864</v>
      </c>
      <c r="C2" s="9" t="s">
        <v>1865</v>
      </c>
      <c r="D2" s="9" t="s">
        <v>1866</v>
      </c>
      <c r="E2" s="9" t="s">
        <v>1867</v>
      </c>
      <c r="F2" s="29" t="s">
        <v>1868</v>
      </c>
      <c r="G2" s="9" t="s">
        <v>1869</v>
      </c>
      <c r="H2" s="37"/>
      <c r="I2" s="57"/>
      <c r="J2" s="31"/>
    </row>
    <row r="3" spans="1:10" ht="34.5" customHeight="1">
      <c r="A3" s="160" t="s">
        <v>55</v>
      </c>
      <c r="B3" s="9" t="s">
        <v>1864</v>
      </c>
      <c r="C3" s="9" t="s">
        <v>1865</v>
      </c>
      <c r="D3" s="9" t="s">
        <v>1870</v>
      </c>
      <c r="E3" s="9" t="s">
        <v>1871</v>
      </c>
      <c r="F3" s="29" t="s">
        <v>1872</v>
      </c>
      <c r="G3" s="9" t="s">
        <v>1873</v>
      </c>
      <c r="H3" s="37"/>
      <c r="I3" s="57"/>
      <c r="J3" s="31"/>
    </row>
    <row r="4" spans="1:10" ht="56.25" customHeight="1">
      <c r="A4" s="160" t="s">
        <v>60</v>
      </c>
      <c r="B4" s="9" t="s">
        <v>1864</v>
      </c>
      <c r="C4" s="9" t="s">
        <v>1874</v>
      </c>
      <c r="D4" s="9" t="s">
        <v>1875</v>
      </c>
      <c r="E4" s="9" t="s">
        <v>1876</v>
      </c>
      <c r="F4" s="160" t="s">
        <v>1877</v>
      </c>
      <c r="G4" s="9" t="s">
        <v>1878</v>
      </c>
      <c r="H4" s="37"/>
      <c r="I4" s="57"/>
      <c r="J4" s="31"/>
    </row>
    <row r="5" spans="1:10" ht="37.5" customHeight="1">
      <c r="A5" s="160" t="s">
        <v>65</v>
      </c>
      <c r="B5" s="89" t="s">
        <v>1864</v>
      </c>
      <c r="C5" s="90" t="s">
        <v>1879</v>
      </c>
      <c r="D5" s="90" t="s">
        <v>1880</v>
      </c>
      <c r="E5" s="90" t="s">
        <v>1881</v>
      </c>
      <c r="F5" s="89" t="s">
        <v>1882</v>
      </c>
      <c r="G5" s="89" t="s">
        <v>1883</v>
      </c>
      <c r="H5" s="37"/>
      <c r="I5" s="57"/>
      <c r="J5" s="31"/>
    </row>
    <row r="6" spans="1:10" ht="33.75" customHeight="1">
      <c r="A6" s="160" t="s">
        <v>70</v>
      </c>
      <c r="B6" s="9" t="s">
        <v>1864</v>
      </c>
      <c r="C6" s="7" t="s">
        <v>1874</v>
      </c>
      <c r="D6" s="7" t="s">
        <v>1884</v>
      </c>
      <c r="E6" s="7" t="s">
        <v>1885</v>
      </c>
      <c r="F6" s="29" t="s">
        <v>1886</v>
      </c>
      <c r="G6" s="9" t="s">
        <v>1887</v>
      </c>
      <c r="H6" s="58"/>
      <c r="I6" s="57"/>
      <c r="J6" s="103"/>
    </row>
    <row r="7" spans="1:10" ht="33" customHeight="1">
      <c r="A7" s="160" t="s">
        <v>74</v>
      </c>
      <c r="B7" s="9" t="s">
        <v>1864</v>
      </c>
      <c r="C7" s="7" t="s">
        <v>1874</v>
      </c>
      <c r="D7" s="7" t="s">
        <v>1888</v>
      </c>
      <c r="E7" s="7" t="s">
        <v>1889</v>
      </c>
      <c r="F7" s="29" t="s">
        <v>1890</v>
      </c>
      <c r="G7" s="9" t="s">
        <v>1891</v>
      </c>
      <c r="H7" s="66"/>
      <c r="I7" s="57"/>
      <c r="J7" s="104"/>
    </row>
    <row r="8" spans="1:10" ht="32.25" customHeight="1">
      <c r="A8" s="160" t="s">
        <v>79</v>
      </c>
      <c r="B8" s="9" t="s">
        <v>1864</v>
      </c>
      <c r="C8" s="7" t="s">
        <v>1874</v>
      </c>
      <c r="D8" s="7" t="s">
        <v>1892</v>
      </c>
      <c r="E8" s="7" t="s">
        <v>1893</v>
      </c>
      <c r="F8" s="29" t="s">
        <v>1894</v>
      </c>
      <c r="G8" s="31" t="s">
        <v>1895</v>
      </c>
      <c r="H8" s="37"/>
      <c r="I8" s="57"/>
      <c r="J8" s="105"/>
    </row>
    <row r="9" spans="1:10" ht="39" customHeight="1">
      <c r="A9" s="160" t="s">
        <v>84</v>
      </c>
      <c r="B9" s="9" t="s">
        <v>1864</v>
      </c>
      <c r="C9" s="7" t="s">
        <v>1874</v>
      </c>
      <c r="D9" s="7" t="s">
        <v>1896</v>
      </c>
      <c r="E9" s="7" t="s">
        <v>1897</v>
      </c>
      <c r="F9" s="29" t="s">
        <v>1898</v>
      </c>
      <c r="G9" s="31" t="s">
        <v>1899</v>
      </c>
      <c r="H9" s="37"/>
      <c r="I9" s="57"/>
      <c r="J9" s="106"/>
    </row>
    <row r="10" spans="1:10" ht="47.25" customHeight="1">
      <c r="A10" s="160" t="s">
        <v>89</v>
      </c>
      <c r="B10" s="9" t="s">
        <v>1864</v>
      </c>
      <c r="C10" s="7" t="s">
        <v>1874</v>
      </c>
      <c r="D10" s="7" t="s">
        <v>1900</v>
      </c>
      <c r="E10" s="7" t="s">
        <v>1901</v>
      </c>
      <c r="F10" s="29" t="s">
        <v>1902</v>
      </c>
      <c r="G10" s="9" t="s">
        <v>1903</v>
      </c>
      <c r="H10" s="91"/>
      <c r="I10" s="57"/>
      <c r="J10" s="108"/>
    </row>
    <row r="11" spans="1:10" ht="28.5" customHeight="1">
      <c r="A11" s="160" t="s">
        <v>94</v>
      </c>
      <c r="B11" s="9" t="s">
        <v>1864</v>
      </c>
      <c r="C11" s="7" t="s">
        <v>1874</v>
      </c>
      <c r="D11" s="7" t="s">
        <v>1904</v>
      </c>
      <c r="E11" s="7" t="s">
        <v>1905</v>
      </c>
      <c r="F11" s="29" t="s">
        <v>1906</v>
      </c>
      <c r="G11" s="9" t="s">
        <v>1907</v>
      </c>
      <c r="H11" s="92"/>
      <c r="I11" s="57"/>
      <c r="J11" s="105"/>
    </row>
    <row r="12" spans="1:10" ht="30" customHeight="1">
      <c r="A12" s="160" t="s">
        <v>99</v>
      </c>
      <c r="B12" s="9" t="s">
        <v>1864</v>
      </c>
      <c r="C12" s="7" t="s">
        <v>1874</v>
      </c>
      <c r="D12" s="7" t="s">
        <v>1908</v>
      </c>
      <c r="E12" s="7" t="s">
        <v>1909</v>
      </c>
      <c r="F12" s="29" t="s">
        <v>1910</v>
      </c>
      <c r="G12" s="9" t="s">
        <v>1911</v>
      </c>
      <c r="H12" s="37"/>
      <c r="I12" s="57"/>
      <c r="J12" s="105"/>
    </row>
    <row r="13" spans="1:10" ht="29.25" customHeight="1">
      <c r="A13" s="160" t="s">
        <v>103</v>
      </c>
      <c r="B13" s="9" t="s">
        <v>1864</v>
      </c>
      <c r="C13" s="7" t="s">
        <v>1874</v>
      </c>
      <c r="D13" s="7" t="s">
        <v>1912</v>
      </c>
      <c r="E13" s="7" t="s">
        <v>1913</v>
      </c>
      <c r="F13" s="29" t="s">
        <v>1914</v>
      </c>
      <c r="G13" s="9" t="s">
        <v>1915</v>
      </c>
      <c r="H13" s="37"/>
      <c r="I13" s="57"/>
      <c r="J13" s="105"/>
    </row>
    <row r="14" spans="1:10" ht="31.5" customHeight="1">
      <c r="A14" s="160" t="s">
        <v>108</v>
      </c>
      <c r="B14" s="9" t="s">
        <v>1864</v>
      </c>
      <c r="C14" s="7" t="s">
        <v>1916</v>
      </c>
      <c r="D14" s="7" t="s">
        <v>1917</v>
      </c>
      <c r="E14" s="7" t="s">
        <v>1918</v>
      </c>
      <c r="F14" s="29" t="s">
        <v>1919</v>
      </c>
      <c r="G14" s="9" t="s">
        <v>1920</v>
      </c>
      <c r="H14" s="37"/>
      <c r="I14" s="57"/>
      <c r="J14" s="105"/>
    </row>
    <row r="15" spans="1:10" ht="31.5" customHeight="1">
      <c r="A15" s="160" t="s">
        <v>112</v>
      </c>
      <c r="B15" s="9" t="s">
        <v>1864</v>
      </c>
      <c r="C15" s="7" t="s">
        <v>1916</v>
      </c>
      <c r="D15" s="7" t="s">
        <v>1921</v>
      </c>
      <c r="E15" s="7" t="s">
        <v>1922</v>
      </c>
      <c r="F15" s="29" t="s">
        <v>1923</v>
      </c>
      <c r="G15" s="93" t="s">
        <v>1924</v>
      </c>
      <c r="H15" s="37"/>
      <c r="I15" s="57"/>
      <c r="J15" s="105"/>
    </row>
    <row r="16" spans="1:10" ht="12" customHeight="1">
      <c r="A16" s="160" t="s">
        <v>118</v>
      </c>
      <c r="B16" s="9" t="s">
        <v>1864</v>
      </c>
      <c r="C16" s="7" t="s">
        <v>1916</v>
      </c>
      <c r="D16" s="7" t="s">
        <v>1029</v>
      </c>
      <c r="E16" s="7" t="s">
        <v>1925</v>
      </c>
      <c r="F16" s="160" t="s">
        <v>1926</v>
      </c>
      <c r="G16" s="93" t="s">
        <v>1927</v>
      </c>
      <c r="H16" s="37"/>
      <c r="I16" s="57"/>
      <c r="J16" s="105"/>
    </row>
    <row r="17" spans="1:10" ht="31.5" customHeight="1">
      <c r="A17" s="160" t="s">
        <v>124</v>
      </c>
      <c r="B17" s="9" t="s">
        <v>1864</v>
      </c>
      <c r="C17" s="7" t="s">
        <v>1874</v>
      </c>
      <c r="D17" s="7" t="s">
        <v>1928</v>
      </c>
      <c r="E17" s="7" t="s">
        <v>1929</v>
      </c>
      <c r="F17" s="29" t="s">
        <v>1930</v>
      </c>
      <c r="G17" s="9" t="s">
        <v>1931</v>
      </c>
      <c r="H17" s="37"/>
      <c r="I17" s="57"/>
      <c r="J17" s="105"/>
    </row>
    <row r="18" spans="1:10" ht="36" customHeight="1">
      <c r="A18" s="160" t="s">
        <v>129</v>
      </c>
      <c r="B18" s="9" t="s">
        <v>1864</v>
      </c>
      <c r="C18" s="7" t="s">
        <v>1874</v>
      </c>
      <c r="D18" s="7" t="s">
        <v>1932</v>
      </c>
      <c r="E18" s="7" t="s">
        <v>1933</v>
      </c>
      <c r="F18" s="29" t="s">
        <v>1934</v>
      </c>
      <c r="G18" s="9" t="s">
        <v>1935</v>
      </c>
      <c r="H18" s="37"/>
      <c r="I18" s="57"/>
      <c r="J18" s="105"/>
    </row>
    <row r="19" spans="1:10" ht="32.25" customHeight="1">
      <c r="A19" s="160" t="s">
        <v>133</v>
      </c>
      <c r="B19" s="33" t="s">
        <v>1864</v>
      </c>
      <c r="C19" s="32" t="s">
        <v>1874</v>
      </c>
      <c r="D19" s="32" t="s">
        <v>1936</v>
      </c>
      <c r="E19" s="32" t="s">
        <v>1937</v>
      </c>
      <c r="F19" s="94" t="s">
        <v>1938</v>
      </c>
      <c r="G19" s="33" t="s">
        <v>1939</v>
      </c>
      <c r="H19" s="37"/>
      <c r="I19" s="57"/>
      <c r="J19" s="104"/>
    </row>
    <row r="20" spans="1:10" ht="24.75" customHeight="1">
      <c r="A20" s="160" t="s">
        <v>137</v>
      </c>
      <c r="B20" s="95" t="s">
        <v>1864</v>
      </c>
      <c r="C20" s="96" t="s">
        <v>1874</v>
      </c>
      <c r="D20" s="97" t="s">
        <v>1940</v>
      </c>
      <c r="E20" s="98" t="s">
        <v>1941</v>
      </c>
      <c r="F20" s="99" t="s">
        <v>1942</v>
      </c>
      <c r="G20" s="98" t="s">
        <v>1943</v>
      </c>
      <c r="H20" s="98"/>
      <c r="I20" s="57"/>
      <c r="J20" s="71" t="s">
        <v>1944</v>
      </c>
    </row>
    <row r="21" spans="1:10" ht="23.25" customHeight="1">
      <c r="A21" s="160" t="s">
        <v>142</v>
      </c>
      <c r="B21" s="100" t="s">
        <v>1864</v>
      </c>
      <c r="C21" s="62" t="s">
        <v>1874</v>
      </c>
      <c r="D21" s="101" t="s">
        <v>1945</v>
      </c>
      <c r="E21" s="102" t="s">
        <v>1946</v>
      </c>
      <c r="F21" s="45" t="s">
        <v>1947</v>
      </c>
      <c r="G21" s="71" t="s">
        <v>1948</v>
      </c>
      <c r="H21" s="71"/>
      <c r="I21" s="57"/>
      <c r="J21" s="71" t="s">
        <v>1949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13"/>
  <sheetViews>
    <sheetView zoomScale="90" zoomScaleNormal="90" workbookViewId="0">
      <selection activeCell="J2" sqref="J2:J113"/>
    </sheetView>
  </sheetViews>
  <sheetFormatPr defaultColWidth="10" defaultRowHeight="12" customHeight="1"/>
  <cols>
    <col min="1" max="8" width="10" style="2" customWidth="1"/>
    <col min="9" max="9" width="10" style="1" customWidth="1"/>
    <col min="10" max="10" width="10" style="81" customWidth="1"/>
    <col min="11" max="15" width="10" style="2" customWidth="1"/>
    <col min="16" max="16384" width="10" style="2"/>
  </cols>
  <sheetData>
    <row r="1" spans="1:10" s="1" customFormat="1" ht="12" customHeight="1">
      <c r="A1" s="140" t="s">
        <v>37</v>
      </c>
      <c r="B1" s="140" t="s">
        <v>38</v>
      </c>
      <c r="C1" s="140" t="s">
        <v>39</v>
      </c>
      <c r="D1" s="140" t="s">
        <v>40</v>
      </c>
      <c r="E1" s="49" t="s">
        <v>41</v>
      </c>
      <c r="F1" s="49" t="s">
        <v>42</v>
      </c>
      <c r="G1" s="50" t="s">
        <v>43</v>
      </c>
      <c r="H1" s="140" t="s">
        <v>1950</v>
      </c>
      <c r="I1" s="138" t="s">
        <v>45</v>
      </c>
      <c r="J1" s="141" t="s">
        <v>46</v>
      </c>
    </row>
    <row r="2" spans="1:10" ht="12" customHeight="1">
      <c r="A2" s="29" t="s">
        <v>47</v>
      </c>
      <c r="B2" s="29" t="s">
        <v>48</v>
      </c>
      <c r="C2" s="29" t="s">
        <v>1951</v>
      </c>
      <c r="D2" s="189" t="s">
        <v>812</v>
      </c>
      <c r="E2" s="29" t="s">
        <v>1952</v>
      </c>
      <c r="F2" s="29" t="s">
        <v>1953</v>
      </c>
      <c r="G2" s="189" t="s">
        <v>1954</v>
      </c>
      <c r="H2" s="29" t="s">
        <v>1955</v>
      </c>
      <c r="I2" s="190"/>
      <c r="J2" s="189"/>
    </row>
    <row r="3" spans="1:10" ht="12" customHeight="1">
      <c r="A3" s="29" t="s">
        <v>55</v>
      </c>
      <c r="B3" s="29" t="s">
        <v>48</v>
      </c>
      <c r="C3" s="29" t="s">
        <v>1951</v>
      </c>
      <c r="D3" s="189" t="s">
        <v>812</v>
      </c>
      <c r="E3" s="29" t="s">
        <v>1956</v>
      </c>
      <c r="F3" s="29" t="s">
        <v>1957</v>
      </c>
      <c r="G3" s="189" t="s">
        <v>1958</v>
      </c>
      <c r="H3" s="29" t="s">
        <v>1959</v>
      </c>
      <c r="I3" s="190"/>
      <c r="J3" s="189"/>
    </row>
    <row r="4" spans="1:10" ht="12" customHeight="1">
      <c r="A4" s="29" t="s">
        <v>60</v>
      </c>
      <c r="B4" s="29" t="s">
        <v>48</v>
      </c>
      <c r="C4" s="29" t="s">
        <v>1951</v>
      </c>
      <c r="D4" s="189" t="s">
        <v>812</v>
      </c>
      <c r="E4" s="29" t="s">
        <v>1960</v>
      </c>
      <c r="F4" s="29" t="s">
        <v>1961</v>
      </c>
      <c r="G4" s="189" t="s">
        <v>1962</v>
      </c>
      <c r="H4" s="29" t="s">
        <v>1963</v>
      </c>
      <c r="I4" s="190"/>
      <c r="J4" s="189"/>
    </row>
    <row r="5" spans="1:10" ht="12" customHeight="1">
      <c r="A5" s="29" t="s">
        <v>65</v>
      </c>
      <c r="B5" s="29" t="s">
        <v>48</v>
      </c>
      <c r="C5" s="29" t="s">
        <v>1951</v>
      </c>
      <c r="D5" s="189" t="s">
        <v>812</v>
      </c>
      <c r="E5" s="189" t="s">
        <v>1964</v>
      </c>
      <c r="F5" s="29" t="s">
        <v>1965</v>
      </c>
      <c r="G5" s="189" t="s">
        <v>1966</v>
      </c>
      <c r="H5" s="29" t="s">
        <v>1967</v>
      </c>
      <c r="I5" s="190"/>
      <c r="J5" s="29"/>
    </row>
    <row r="6" spans="1:10" ht="12" customHeight="1">
      <c r="A6" s="29" t="s">
        <v>70</v>
      </c>
      <c r="B6" s="29" t="s">
        <v>48</v>
      </c>
      <c r="C6" s="29" t="s">
        <v>1951</v>
      </c>
      <c r="D6" s="189" t="s">
        <v>812</v>
      </c>
      <c r="E6" s="189" t="s">
        <v>1968</v>
      </c>
      <c r="F6" s="29" t="s">
        <v>1969</v>
      </c>
      <c r="G6" s="189" t="s">
        <v>1970</v>
      </c>
      <c r="H6" s="29" t="s">
        <v>1971</v>
      </c>
      <c r="I6" s="190"/>
      <c r="J6" s="29"/>
    </row>
    <row r="7" spans="1:10" ht="12" customHeight="1">
      <c r="A7" s="29" t="s">
        <v>74</v>
      </c>
      <c r="B7" s="29" t="s">
        <v>48</v>
      </c>
      <c r="C7" s="29" t="s">
        <v>1951</v>
      </c>
      <c r="D7" s="189" t="s">
        <v>812</v>
      </c>
      <c r="E7" s="189" t="s">
        <v>1972</v>
      </c>
      <c r="F7" s="29" t="s">
        <v>1973</v>
      </c>
      <c r="G7" s="189" t="s">
        <v>1970</v>
      </c>
      <c r="H7" s="29" t="s">
        <v>1974</v>
      </c>
      <c r="I7" s="190"/>
      <c r="J7" s="29"/>
    </row>
    <row r="8" spans="1:10" ht="12" customHeight="1">
      <c r="A8" s="29" t="s">
        <v>79</v>
      </c>
      <c r="B8" s="29" t="s">
        <v>48</v>
      </c>
      <c r="C8" s="29" t="s">
        <v>1951</v>
      </c>
      <c r="D8" s="189" t="s">
        <v>812</v>
      </c>
      <c r="E8" s="189" t="s">
        <v>1975</v>
      </c>
      <c r="F8" s="29" t="s">
        <v>1976</v>
      </c>
      <c r="G8" s="189" t="s">
        <v>1977</v>
      </c>
      <c r="H8" s="29" t="s">
        <v>1978</v>
      </c>
      <c r="I8" s="190"/>
      <c r="J8" s="29"/>
    </row>
    <row r="9" spans="1:10" ht="12" customHeight="1">
      <c r="A9" s="29" t="s">
        <v>84</v>
      </c>
      <c r="B9" s="29" t="s">
        <v>48</v>
      </c>
      <c r="C9" s="29" t="s">
        <v>1951</v>
      </c>
      <c r="D9" s="189" t="s">
        <v>1979</v>
      </c>
      <c r="E9" s="189" t="s">
        <v>1980</v>
      </c>
      <c r="F9" s="29" t="s">
        <v>1981</v>
      </c>
      <c r="G9" s="189" t="s">
        <v>1982</v>
      </c>
      <c r="H9" s="29" t="s">
        <v>1983</v>
      </c>
      <c r="I9" s="190"/>
      <c r="J9" s="29"/>
    </row>
    <row r="10" spans="1:10" ht="12" customHeight="1">
      <c r="A10" s="29" t="s">
        <v>89</v>
      </c>
      <c r="B10" s="29" t="s">
        <v>48</v>
      </c>
      <c r="C10" s="29" t="s">
        <v>1951</v>
      </c>
      <c r="D10" s="189" t="s">
        <v>1979</v>
      </c>
      <c r="E10" s="189" t="s">
        <v>1984</v>
      </c>
      <c r="F10" s="29" t="s">
        <v>1985</v>
      </c>
      <c r="G10" s="189" t="s">
        <v>1986</v>
      </c>
      <c r="H10" s="29" t="s">
        <v>1987</v>
      </c>
      <c r="I10" s="190"/>
      <c r="J10" s="29"/>
    </row>
    <row r="11" spans="1:10" ht="12" customHeight="1">
      <c r="A11" s="29" t="s">
        <v>94</v>
      </c>
      <c r="B11" s="29" t="s">
        <v>48</v>
      </c>
      <c r="C11" s="29" t="s">
        <v>1951</v>
      </c>
      <c r="D11" s="189" t="s">
        <v>1988</v>
      </c>
      <c r="E11" s="189" t="s">
        <v>1989</v>
      </c>
      <c r="F11" s="29" t="s">
        <v>1990</v>
      </c>
      <c r="G11" s="189" t="s">
        <v>1991</v>
      </c>
      <c r="H11" s="29"/>
      <c r="I11" s="83"/>
      <c r="J11" s="84"/>
    </row>
    <row r="12" spans="1:10" ht="12" customHeight="1">
      <c r="A12" s="29" t="s">
        <v>99</v>
      </c>
      <c r="B12" s="29" t="s">
        <v>48</v>
      </c>
      <c r="C12" s="29" t="s">
        <v>1951</v>
      </c>
      <c r="D12" s="189" t="s">
        <v>1988</v>
      </c>
      <c r="E12" s="189" t="s">
        <v>1992</v>
      </c>
      <c r="F12" s="29" t="s">
        <v>1993</v>
      </c>
      <c r="G12" s="189" t="s">
        <v>1994</v>
      </c>
      <c r="H12" s="29"/>
      <c r="I12" s="83"/>
      <c r="J12" s="84"/>
    </row>
    <row r="13" spans="1:10" ht="12" customHeight="1">
      <c r="A13" s="29" t="s">
        <v>103</v>
      </c>
      <c r="B13" s="29" t="s">
        <v>48</v>
      </c>
      <c r="C13" s="29" t="s">
        <v>1951</v>
      </c>
      <c r="D13" s="189" t="s">
        <v>1988</v>
      </c>
      <c r="E13" s="189" t="s">
        <v>1995</v>
      </c>
      <c r="F13" s="29" t="s">
        <v>1996</v>
      </c>
      <c r="G13" s="189" t="s">
        <v>1997</v>
      </c>
      <c r="H13" s="29" t="s">
        <v>1998</v>
      </c>
      <c r="I13" s="190"/>
      <c r="J13" s="29"/>
    </row>
    <row r="14" spans="1:10" ht="12" customHeight="1">
      <c r="A14" s="29" t="s">
        <v>108</v>
      </c>
      <c r="B14" s="29" t="s">
        <v>48</v>
      </c>
      <c r="C14" s="29" t="s">
        <v>1951</v>
      </c>
      <c r="D14" s="29" t="s">
        <v>1999</v>
      </c>
      <c r="E14" s="189" t="s">
        <v>2000</v>
      </c>
      <c r="F14" s="29" t="s">
        <v>2001</v>
      </c>
      <c r="G14" s="189" t="s">
        <v>2002</v>
      </c>
      <c r="H14" s="29" t="s">
        <v>2003</v>
      </c>
      <c r="I14" s="190"/>
      <c r="J14" s="29"/>
    </row>
    <row r="15" spans="1:10" ht="12" customHeight="1">
      <c r="A15" s="29" t="s">
        <v>112</v>
      </c>
      <c r="B15" s="29" t="s">
        <v>48</v>
      </c>
      <c r="C15" s="29" t="s">
        <v>1951</v>
      </c>
      <c r="D15" s="29" t="s">
        <v>1999</v>
      </c>
      <c r="E15" s="189" t="s">
        <v>2004</v>
      </c>
      <c r="F15" s="29" t="s">
        <v>2005</v>
      </c>
      <c r="G15" s="189" t="s">
        <v>2006</v>
      </c>
      <c r="H15" s="29" t="s">
        <v>2007</v>
      </c>
      <c r="I15" s="190"/>
      <c r="J15" s="29"/>
    </row>
    <row r="16" spans="1:10" ht="12" customHeight="1">
      <c r="A16" s="29" t="s">
        <v>118</v>
      </c>
      <c r="B16" s="29" t="s">
        <v>48</v>
      </c>
      <c r="C16" s="29" t="s">
        <v>1951</v>
      </c>
      <c r="D16" s="29" t="s">
        <v>1999</v>
      </c>
      <c r="E16" s="189" t="s">
        <v>2008</v>
      </c>
      <c r="F16" s="29" t="s">
        <v>2009</v>
      </c>
      <c r="G16" s="189" t="s">
        <v>2010</v>
      </c>
      <c r="H16" s="29" t="s">
        <v>2011</v>
      </c>
      <c r="I16" s="190"/>
      <c r="J16" s="29"/>
    </row>
    <row r="17" spans="1:10" ht="12" customHeight="1">
      <c r="A17" s="29" t="s">
        <v>124</v>
      </c>
      <c r="B17" s="29" t="s">
        <v>48</v>
      </c>
      <c r="C17" s="29" t="s">
        <v>1951</v>
      </c>
      <c r="D17" s="189" t="s">
        <v>1999</v>
      </c>
      <c r="E17" s="189" t="s">
        <v>2012</v>
      </c>
      <c r="F17" s="29" t="s">
        <v>2013</v>
      </c>
      <c r="G17" s="189" t="s">
        <v>2014</v>
      </c>
      <c r="H17" s="29" t="s">
        <v>2015</v>
      </c>
      <c r="I17" s="190"/>
      <c r="J17" s="29"/>
    </row>
    <row r="18" spans="1:10" ht="12" customHeight="1">
      <c r="A18" s="29" t="s">
        <v>129</v>
      </c>
      <c r="B18" s="29" t="s">
        <v>48</v>
      </c>
      <c r="C18" s="29" t="s">
        <v>1951</v>
      </c>
      <c r="D18" s="189" t="s">
        <v>1999</v>
      </c>
      <c r="E18" s="189" t="s">
        <v>2016</v>
      </c>
      <c r="F18" s="29" t="s">
        <v>2017</v>
      </c>
      <c r="G18" s="189" t="s">
        <v>2018</v>
      </c>
      <c r="H18" s="29" t="s">
        <v>2019</v>
      </c>
      <c r="I18" s="190"/>
      <c r="J18" s="29"/>
    </row>
    <row r="19" spans="1:10" ht="12" customHeight="1">
      <c r="A19" s="29" t="s">
        <v>133</v>
      </c>
      <c r="B19" s="29" t="s">
        <v>48</v>
      </c>
      <c r="C19" s="29" t="s">
        <v>1951</v>
      </c>
      <c r="D19" s="189" t="s">
        <v>1999</v>
      </c>
      <c r="E19" s="189" t="s">
        <v>2020</v>
      </c>
      <c r="F19" s="29" t="s">
        <v>2021</v>
      </c>
      <c r="G19" s="189" t="s">
        <v>2022</v>
      </c>
      <c r="H19" s="29" t="s">
        <v>2023</v>
      </c>
      <c r="I19" s="83"/>
      <c r="J19" s="29"/>
    </row>
    <row r="20" spans="1:10" ht="12" customHeight="1">
      <c r="A20" s="29" t="s">
        <v>137</v>
      </c>
      <c r="B20" s="29" t="s">
        <v>48</v>
      </c>
      <c r="C20" s="29" t="s">
        <v>1951</v>
      </c>
      <c r="D20" s="189" t="s">
        <v>1999</v>
      </c>
      <c r="E20" s="189" t="s">
        <v>2024</v>
      </c>
      <c r="F20" s="29" t="s">
        <v>2025</v>
      </c>
      <c r="G20" s="189" t="s">
        <v>2026</v>
      </c>
      <c r="H20" s="29" t="s">
        <v>2027</v>
      </c>
      <c r="I20" s="83"/>
      <c r="J20" s="189"/>
    </row>
    <row r="21" spans="1:10" ht="12" customHeight="1">
      <c r="A21" s="29" t="s">
        <v>142</v>
      </c>
      <c r="B21" s="29" t="s">
        <v>48</v>
      </c>
      <c r="C21" s="29" t="s">
        <v>1951</v>
      </c>
      <c r="D21" s="189" t="s">
        <v>1999</v>
      </c>
      <c r="E21" s="189" t="s">
        <v>2028</v>
      </c>
      <c r="F21" s="29" t="s">
        <v>2029</v>
      </c>
      <c r="G21" s="189" t="s">
        <v>2030</v>
      </c>
      <c r="H21" s="29" t="s">
        <v>2031</v>
      </c>
      <c r="I21" s="190"/>
      <c r="J21" s="189"/>
    </row>
    <row r="22" spans="1:10" ht="12" customHeight="1">
      <c r="A22" s="29" t="s">
        <v>146</v>
      </c>
      <c r="B22" s="29" t="s">
        <v>48</v>
      </c>
      <c r="C22" s="29" t="s">
        <v>1951</v>
      </c>
      <c r="D22" s="189" t="s">
        <v>1999</v>
      </c>
      <c r="E22" s="189" t="s">
        <v>2032</v>
      </c>
      <c r="F22" s="29" t="s">
        <v>2033</v>
      </c>
      <c r="G22" s="189" t="s">
        <v>2030</v>
      </c>
      <c r="H22" s="29" t="s">
        <v>2034</v>
      </c>
      <c r="I22" s="190"/>
      <c r="J22" s="29"/>
    </row>
    <row r="23" spans="1:10" ht="12" customHeight="1">
      <c r="A23" s="29" t="s">
        <v>151</v>
      </c>
      <c r="B23" s="29" t="s">
        <v>48</v>
      </c>
      <c r="C23" s="29" t="s">
        <v>1951</v>
      </c>
      <c r="D23" s="189" t="s">
        <v>1999</v>
      </c>
      <c r="E23" s="189" t="s">
        <v>2035</v>
      </c>
      <c r="F23" s="29" t="s">
        <v>2036</v>
      </c>
      <c r="G23" s="189" t="s">
        <v>2037</v>
      </c>
      <c r="H23" s="29" t="s">
        <v>2038</v>
      </c>
      <c r="I23" s="190"/>
      <c r="J23" s="29"/>
    </row>
    <row r="24" spans="1:10" ht="12" customHeight="1">
      <c r="A24" s="29" t="s">
        <v>154</v>
      </c>
      <c r="B24" s="29" t="s">
        <v>48</v>
      </c>
      <c r="C24" s="29" t="s">
        <v>1951</v>
      </c>
      <c r="D24" s="189" t="s">
        <v>1999</v>
      </c>
      <c r="E24" s="189" t="s">
        <v>2039</v>
      </c>
      <c r="F24" s="29" t="s">
        <v>2040</v>
      </c>
      <c r="G24" s="189" t="s">
        <v>2041</v>
      </c>
      <c r="H24" s="29" t="s">
        <v>2042</v>
      </c>
      <c r="I24" s="190"/>
      <c r="J24" s="29"/>
    </row>
    <row r="25" spans="1:10" ht="12" customHeight="1">
      <c r="A25" s="29" t="s">
        <v>158</v>
      </c>
      <c r="B25" s="29" t="s">
        <v>48</v>
      </c>
      <c r="C25" s="29" t="s">
        <v>1951</v>
      </c>
      <c r="D25" s="189" t="s">
        <v>1999</v>
      </c>
      <c r="E25" s="189" t="s">
        <v>2043</v>
      </c>
      <c r="F25" s="29" t="s">
        <v>2044</v>
      </c>
      <c r="G25" s="189" t="s">
        <v>2045</v>
      </c>
      <c r="H25" s="29" t="s">
        <v>2046</v>
      </c>
      <c r="I25" s="190"/>
      <c r="J25" s="29"/>
    </row>
    <row r="26" spans="1:10" ht="12" customHeight="1">
      <c r="A26" s="29" t="s">
        <v>164</v>
      </c>
      <c r="B26" s="29" t="s">
        <v>48</v>
      </c>
      <c r="C26" s="29" t="s">
        <v>1951</v>
      </c>
      <c r="D26" s="189" t="s">
        <v>1999</v>
      </c>
      <c r="E26" s="189" t="s">
        <v>2047</v>
      </c>
      <c r="F26" s="29" t="s">
        <v>2048</v>
      </c>
      <c r="G26" s="189" t="s">
        <v>2045</v>
      </c>
      <c r="H26" s="29" t="s">
        <v>2049</v>
      </c>
      <c r="I26" s="190"/>
      <c r="J26" s="29"/>
    </row>
    <row r="27" spans="1:10" ht="12" customHeight="1">
      <c r="A27" s="29" t="s">
        <v>170</v>
      </c>
      <c r="B27" s="29" t="s">
        <v>48</v>
      </c>
      <c r="C27" s="29" t="s">
        <v>1951</v>
      </c>
      <c r="D27" s="189" t="s">
        <v>1999</v>
      </c>
      <c r="E27" s="189" t="s">
        <v>2050</v>
      </c>
      <c r="F27" s="29" t="s">
        <v>2051</v>
      </c>
      <c r="G27" s="189" t="s">
        <v>2052</v>
      </c>
      <c r="H27" s="29" t="s">
        <v>2053</v>
      </c>
      <c r="I27" s="190"/>
      <c r="J27" s="29"/>
    </row>
    <row r="28" spans="1:10" ht="12" customHeight="1">
      <c r="A28" s="29" t="s">
        <v>283</v>
      </c>
      <c r="B28" s="29" t="s">
        <v>48</v>
      </c>
      <c r="C28" s="29" t="s">
        <v>1951</v>
      </c>
      <c r="D28" s="189" t="s">
        <v>1999</v>
      </c>
      <c r="E28" s="189" t="s">
        <v>2054</v>
      </c>
      <c r="F28" s="29" t="s">
        <v>2055</v>
      </c>
      <c r="G28" s="189" t="s">
        <v>2056</v>
      </c>
      <c r="H28" s="29" t="s">
        <v>2057</v>
      </c>
      <c r="I28" s="190"/>
      <c r="J28" s="29"/>
    </row>
    <row r="29" spans="1:10" ht="12" customHeight="1">
      <c r="A29" s="29" t="s">
        <v>288</v>
      </c>
      <c r="B29" s="29" t="s">
        <v>48</v>
      </c>
      <c r="C29" s="29" t="s">
        <v>1951</v>
      </c>
      <c r="D29" s="189" t="s">
        <v>1999</v>
      </c>
      <c r="E29" s="189" t="s">
        <v>2058</v>
      </c>
      <c r="F29" s="29" t="s">
        <v>2059</v>
      </c>
      <c r="G29" s="189" t="s">
        <v>2060</v>
      </c>
      <c r="H29" s="29" t="s">
        <v>2061</v>
      </c>
      <c r="I29" s="190"/>
      <c r="J29" s="29"/>
    </row>
    <row r="30" spans="1:10" ht="12" customHeight="1">
      <c r="A30" s="29" t="s">
        <v>293</v>
      </c>
      <c r="B30" s="29" t="s">
        <v>48</v>
      </c>
      <c r="C30" s="29" t="s">
        <v>1951</v>
      </c>
      <c r="D30" s="189" t="s">
        <v>1999</v>
      </c>
      <c r="E30" s="189" t="s">
        <v>2062</v>
      </c>
      <c r="F30" s="29" t="s">
        <v>2063</v>
      </c>
      <c r="G30" s="189" t="s">
        <v>2064</v>
      </c>
      <c r="H30" s="29" t="s">
        <v>2065</v>
      </c>
      <c r="I30" s="190"/>
      <c r="J30" s="29"/>
    </row>
    <row r="31" spans="1:10" ht="12" customHeight="1">
      <c r="A31" s="29" t="s">
        <v>298</v>
      </c>
      <c r="B31" s="29" t="s">
        <v>48</v>
      </c>
      <c r="C31" s="29" t="s">
        <v>1951</v>
      </c>
      <c r="D31" s="189" t="s">
        <v>1999</v>
      </c>
      <c r="E31" s="189" t="s">
        <v>2066</v>
      </c>
      <c r="F31" s="29" t="s">
        <v>2067</v>
      </c>
      <c r="G31" s="189" t="s">
        <v>2068</v>
      </c>
      <c r="H31" s="29" t="s">
        <v>2069</v>
      </c>
      <c r="I31" s="190"/>
      <c r="J31" s="29"/>
    </row>
    <row r="32" spans="1:10" ht="12" customHeight="1">
      <c r="A32" s="29" t="s">
        <v>303</v>
      </c>
      <c r="B32" s="29" t="s">
        <v>48</v>
      </c>
      <c r="C32" s="29" t="s">
        <v>1951</v>
      </c>
      <c r="D32" s="189" t="s">
        <v>1999</v>
      </c>
      <c r="E32" s="189" t="s">
        <v>2070</v>
      </c>
      <c r="F32" s="29" t="s">
        <v>2071</v>
      </c>
      <c r="G32" s="189" t="s">
        <v>2072</v>
      </c>
      <c r="H32" s="29" t="s">
        <v>2073</v>
      </c>
      <c r="I32" s="231"/>
      <c r="J32" s="232"/>
    </row>
    <row r="33" spans="1:10" ht="12" customHeight="1">
      <c r="A33" s="29" t="s">
        <v>308</v>
      </c>
      <c r="B33" s="29" t="s">
        <v>48</v>
      </c>
      <c r="C33" s="29" t="s">
        <v>1951</v>
      </c>
      <c r="D33" s="189" t="s">
        <v>1999</v>
      </c>
      <c r="E33" s="189" t="s">
        <v>2074</v>
      </c>
      <c r="F33" s="29" t="s">
        <v>2075</v>
      </c>
      <c r="G33" s="29" t="s">
        <v>2076</v>
      </c>
      <c r="H33" s="29" t="s">
        <v>2077</v>
      </c>
      <c r="I33" s="190"/>
      <c r="J33" s="189"/>
    </row>
    <row r="34" spans="1:10" ht="12" customHeight="1">
      <c r="A34" s="29" t="s">
        <v>313</v>
      </c>
      <c r="B34" s="29" t="s">
        <v>48</v>
      </c>
      <c r="C34" s="29" t="s">
        <v>1951</v>
      </c>
      <c r="D34" s="189" t="s">
        <v>2078</v>
      </c>
      <c r="E34" s="189" t="s">
        <v>2079</v>
      </c>
      <c r="F34" s="29" t="s">
        <v>2080</v>
      </c>
      <c r="G34" s="189" t="s">
        <v>2081</v>
      </c>
      <c r="H34" s="29" t="s">
        <v>2082</v>
      </c>
      <c r="I34" s="190"/>
      <c r="J34" s="189"/>
    </row>
    <row r="35" spans="1:10" ht="12" customHeight="1">
      <c r="A35" s="29" t="s">
        <v>318</v>
      </c>
      <c r="B35" s="29" t="s">
        <v>48</v>
      </c>
      <c r="C35" s="29" t="s">
        <v>1951</v>
      </c>
      <c r="D35" s="189" t="s">
        <v>2078</v>
      </c>
      <c r="E35" s="29" t="s">
        <v>2083</v>
      </c>
      <c r="F35" s="29" t="s">
        <v>2084</v>
      </c>
      <c r="G35" s="189" t="s">
        <v>2085</v>
      </c>
      <c r="H35" s="29" t="s">
        <v>2086</v>
      </c>
      <c r="I35" s="190"/>
      <c r="J35" s="189"/>
    </row>
    <row r="36" spans="1:10" ht="12" customHeight="1">
      <c r="A36" s="29" t="s">
        <v>323</v>
      </c>
      <c r="B36" s="29" t="s">
        <v>48</v>
      </c>
      <c r="C36" s="29" t="s">
        <v>1951</v>
      </c>
      <c r="D36" s="189" t="s">
        <v>2078</v>
      </c>
      <c r="E36" s="29" t="s">
        <v>2087</v>
      </c>
      <c r="F36" s="29" t="s">
        <v>2088</v>
      </c>
      <c r="G36" s="189" t="s">
        <v>1962</v>
      </c>
      <c r="H36" s="29" t="s">
        <v>2089</v>
      </c>
      <c r="I36" s="190"/>
      <c r="J36" s="189"/>
    </row>
    <row r="37" spans="1:10" ht="12" customHeight="1">
      <c r="A37" s="29" t="s">
        <v>327</v>
      </c>
      <c r="B37" s="29" t="s">
        <v>48</v>
      </c>
      <c r="C37" s="29" t="s">
        <v>1951</v>
      </c>
      <c r="D37" s="189" t="s">
        <v>2078</v>
      </c>
      <c r="E37" s="189" t="s">
        <v>656</v>
      </c>
      <c r="F37" s="29" t="s">
        <v>2090</v>
      </c>
      <c r="G37" s="189" t="s">
        <v>2091</v>
      </c>
      <c r="H37" s="29" t="s">
        <v>2092</v>
      </c>
      <c r="I37" s="190"/>
      <c r="J37" s="189"/>
    </row>
    <row r="38" spans="1:10" ht="12" customHeight="1">
      <c r="A38" s="29" t="s">
        <v>333</v>
      </c>
      <c r="B38" s="29" t="s">
        <v>48</v>
      </c>
      <c r="C38" s="29" t="s">
        <v>1951</v>
      </c>
      <c r="D38" s="189" t="s">
        <v>2078</v>
      </c>
      <c r="E38" s="189" t="s">
        <v>660</v>
      </c>
      <c r="F38" s="29" t="s">
        <v>2093</v>
      </c>
      <c r="G38" s="189" t="s">
        <v>2094</v>
      </c>
      <c r="H38" s="29" t="s">
        <v>2095</v>
      </c>
      <c r="I38" s="190"/>
      <c r="J38" s="189"/>
    </row>
    <row r="39" spans="1:10" ht="12" customHeight="1">
      <c r="A39" s="29" t="s">
        <v>338</v>
      </c>
      <c r="B39" s="29" t="s">
        <v>48</v>
      </c>
      <c r="C39" s="29" t="s">
        <v>1951</v>
      </c>
      <c r="D39" s="189" t="s">
        <v>2078</v>
      </c>
      <c r="E39" s="189" t="s">
        <v>2096</v>
      </c>
      <c r="F39" s="29" t="s">
        <v>2097</v>
      </c>
      <c r="G39" s="189" t="s">
        <v>2098</v>
      </c>
      <c r="H39" s="29" t="s">
        <v>2099</v>
      </c>
      <c r="I39" s="190"/>
      <c r="J39" s="189"/>
    </row>
    <row r="40" spans="1:10" ht="12" customHeight="1">
      <c r="A40" s="29" t="s">
        <v>343</v>
      </c>
      <c r="B40" s="29" t="s">
        <v>48</v>
      </c>
      <c r="C40" s="29" t="s">
        <v>1951</v>
      </c>
      <c r="D40" s="189" t="s">
        <v>2078</v>
      </c>
      <c r="E40" s="189" t="s">
        <v>2100</v>
      </c>
      <c r="F40" s="29" t="s">
        <v>2101</v>
      </c>
      <c r="G40" s="189" t="s">
        <v>2102</v>
      </c>
      <c r="H40" s="29" t="s">
        <v>2103</v>
      </c>
      <c r="I40" s="190"/>
      <c r="J40" s="189"/>
    </row>
    <row r="41" spans="1:10" ht="12" customHeight="1">
      <c r="A41" s="29" t="s">
        <v>349</v>
      </c>
      <c r="B41" s="29" t="s">
        <v>48</v>
      </c>
      <c r="C41" s="29" t="s">
        <v>1951</v>
      </c>
      <c r="D41" s="189" t="s">
        <v>2078</v>
      </c>
      <c r="E41" s="189" t="s">
        <v>2104</v>
      </c>
      <c r="F41" s="29" t="s">
        <v>2105</v>
      </c>
      <c r="G41" s="189" t="s">
        <v>2106</v>
      </c>
      <c r="H41" s="29" t="s">
        <v>2107</v>
      </c>
      <c r="I41" s="190"/>
      <c r="J41" s="189"/>
    </row>
    <row r="42" spans="1:10" ht="12" customHeight="1">
      <c r="A42" s="29" t="s">
        <v>354</v>
      </c>
      <c r="B42" s="29" t="s">
        <v>48</v>
      </c>
      <c r="C42" s="29" t="s">
        <v>1951</v>
      </c>
      <c r="D42" s="189" t="s">
        <v>2078</v>
      </c>
      <c r="E42" s="189" t="s">
        <v>2108</v>
      </c>
      <c r="F42" s="29" t="s">
        <v>2109</v>
      </c>
      <c r="G42" s="189" t="s">
        <v>2110</v>
      </c>
      <c r="H42" s="29" t="s">
        <v>2111</v>
      </c>
      <c r="I42" s="190"/>
      <c r="J42" s="189"/>
    </row>
    <row r="43" spans="1:10" ht="12" customHeight="1">
      <c r="A43" s="29" t="s">
        <v>359</v>
      </c>
      <c r="B43" s="29" t="s">
        <v>48</v>
      </c>
      <c r="C43" s="29" t="s">
        <v>1951</v>
      </c>
      <c r="D43" s="189" t="s">
        <v>1951</v>
      </c>
      <c r="E43" s="189" t="s">
        <v>2112</v>
      </c>
      <c r="F43" s="29" t="s">
        <v>2113</v>
      </c>
      <c r="G43" s="189" t="s">
        <v>2114</v>
      </c>
      <c r="H43" s="29" t="s">
        <v>2115</v>
      </c>
      <c r="I43" s="190"/>
      <c r="J43" s="189"/>
    </row>
    <row r="44" spans="1:10" ht="12" customHeight="1">
      <c r="A44" s="29" t="s">
        <v>363</v>
      </c>
      <c r="B44" s="29" t="s">
        <v>48</v>
      </c>
      <c r="C44" s="29" t="s">
        <v>1951</v>
      </c>
      <c r="D44" s="189" t="s">
        <v>1951</v>
      </c>
      <c r="E44" s="189" t="s">
        <v>2116</v>
      </c>
      <c r="F44" s="29" t="s">
        <v>2117</v>
      </c>
      <c r="G44" s="189" t="s">
        <v>2118</v>
      </c>
      <c r="H44" s="29" t="s">
        <v>2119</v>
      </c>
      <c r="I44" s="190"/>
      <c r="J44" s="189"/>
    </row>
    <row r="45" spans="1:10" ht="12" customHeight="1">
      <c r="A45" s="29" t="s">
        <v>368</v>
      </c>
      <c r="B45" s="29" t="s">
        <v>48</v>
      </c>
      <c r="C45" s="29" t="s">
        <v>1951</v>
      </c>
      <c r="D45" s="189" t="s">
        <v>1951</v>
      </c>
      <c r="E45" s="189" t="s">
        <v>2120</v>
      </c>
      <c r="F45" s="29" t="s">
        <v>2121</v>
      </c>
      <c r="G45" s="189" t="s">
        <v>2014</v>
      </c>
      <c r="H45" s="29" t="s">
        <v>2122</v>
      </c>
      <c r="I45" s="190"/>
      <c r="J45" s="189"/>
    </row>
    <row r="46" spans="1:10" ht="12" customHeight="1">
      <c r="A46" s="29" t="s">
        <v>372</v>
      </c>
      <c r="B46" s="29" t="s">
        <v>48</v>
      </c>
      <c r="C46" s="29" t="s">
        <v>1951</v>
      </c>
      <c r="D46" s="189" t="s">
        <v>1951</v>
      </c>
      <c r="E46" s="189" t="s">
        <v>2123</v>
      </c>
      <c r="F46" s="29" t="s">
        <v>2124</v>
      </c>
      <c r="G46" s="189" t="s">
        <v>2125</v>
      </c>
      <c r="H46" s="29" t="s">
        <v>2126</v>
      </c>
      <c r="I46" s="190"/>
      <c r="J46" s="189"/>
    </row>
    <row r="47" spans="1:10" ht="12" customHeight="1">
      <c r="A47" s="29" t="s">
        <v>377</v>
      </c>
      <c r="B47" s="29" t="s">
        <v>48</v>
      </c>
      <c r="C47" s="29" t="s">
        <v>1951</v>
      </c>
      <c r="D47" s="189" t="s">
        <v>2127</v>
      </c>
      <c r="E47" s="189" t="s">
        <v>2128</v>
      </c>
      <c r="F47" s="29" t="s">
        <v>2129</v>
      </c>
      <c r="G47" s="189" t="s">
        <v>2130</v>
      </c>
      <c r="H47" s="29" t="s">
        <v>2131</v>
      </c>
      <c r="I47" s="190"/>
      <c r="J47" s="189"/>
    </row>
    <row r="48" spans="1:10" ht="12" customHeight="1">
      <c r="A48" s="29" t="s">
        <v>382</v>
      </c>
      <c r="B48" s="29" t="s">
        <v>48</v>
      </c>
      <c r="C48" s="29" t="s">
        <v>1951</v>
      </c>
      <c r="D48" s="189" t="s">
        <v>2127</v>
      </c>
      <c r="E48" s="189" t="s">
        <v>2132</v>
      </c>
      <c r="F48" s="29" t="s">
        <v>2133</v>
      </c>
      <c r="G48" s="189" t="s">
        <v>2134</v>
      </c>
      <c r="H48" s="29" t="s">
        <v>2135</v>
      </c>
      <c r="I48" s="190"/>
      <c r="J48" s="189"/>
    </row>
    <row r="49" spans="1:10" ht="12" customHeight="1">
      <c r="A49" s="29" t="s">
        <v>386</v>
      </c>
      <c r="B49" s="29" t="s">
        <v>48</v>
      </c>
      <c r="C49" s="82" t="s">
        <v>1951</v>
      </c>
      <c r="D49" s="189" t="s">
        <v>2127</v>
      </c>
      <c r="E49" s="189" t="s">
        <v>2136</v>
      </c>
      <c r="F49" s="29" t="s">
        <v>2137</v>
      </c>
      <c r="G49" s="189" t="s">
        <v>2138</v>
      </c>
      <c r="H49" s="29" t="s">
        <v>2139</v>
      </c>
      <c r="I49" s="190"/>
      <c r="J49" s="189"/>
    </row>
    <row r="50" spans="1:10" ht="12" customHeight="1">
      <c r="A50" s="29" t="s">
        <v>390</v>
      </c>
      <c r="B50" s="29" t="s">
        <v>48</v>
      </c>
      <c r="C50" s="29" t="s">
        <v>1951</v>
      </c>
      <c r="D50" s="189" t="s">
        <v>2127</v>
      </c>
      <c r="E50" s="189" t="s">
        <v>2140</v>
      </c>
      <c r="F50" s="29" t="s">
        <v>2141</v>
      </c>
      <c r="G50" s="189" t="s">
        <v>2142</v>
      </c>
      <c r="H50" s="29" t="s">
        <v>2143</v>
      </c>
      <c r="I50" s="190"/>
      <c r="J50" s="189"/>
    </row>
    <row r="51" spans="1:10" ht="12" customHeight="1">
      <c r="A51" s="29" t="s">
        <v>394</v>
      </c>
      <c r="B51" s="29" t="s">
        <v>48</v>
      </c>
      <c r="C51" s="29" t="s">
        <v>1951</v>
      </c>
      <c r="D51" s="189" t="s">
        <v>2127</v>
      </c>
      <c r="E51" s="189" t="s">
        <v>2144</v>
      </c>
      <c r="F51" s="29" t="s">
        <v>2145</v>
      </c>
      <c r="G51" s="189" t="s">
        <v>2146</v>
      </c>
      <c r="H51" s="29" t="s">
        <v>2147</v>
      </c>
      <c r="I51" s="190"/>
      <c r="J51" s="189"/>
    </row>
    <row r="52" spans="1:10" ht="12" customHeight="1">
      <c r="A52" s="29" t="s">
        <v>398</v>
      </c>
      <c r="B52" s="29" t="s">
        <v>48</v>
      </c>
      <c r="C52" s="29" t="s">
        <v>1951</v>
      </c>
      <c r="D52" s="189" t="s">
        <v>2148</v>
      </c>
      <c r="E52" s="189" t="s">
        <v>2149</v>
      </c>
      <c r="F52" s="29" t="s">
        <v>2150</v>
      </c>
      <c r="G52" s="189" t="s">
        <v>2151</v>
      </c>
      <c r="H52" s="29" t="s">
        <v>2152</v>
      </c>
      <c r="I52" s="190"/>
      <c r="J52" s="189"/>
    </row>
    <row r="53" spans="1:10" ht="12" customHeight="1">
      <c r="A53" s="29" t="s">
        <v>401</v>
      </c>
      <c r="B53" s="29" t="s">
        <v>48</v>
      </c>
      <c r="C53" s="29" t="s">
        <v>1951</v>
      </c>
      <c r="D53" s="189" t="s">
        <v>2148</v>
      </c>
      <c r="E53" s="189" t="s">
        <v>2153</v>
      </c>
      <c r="F53" s="29" t="s">
        <v>2154</v>
      </c>
      <c r="G53" s="189" t="s">
        <v>2155</v>
      </c>
      <c r="H53" s="29" t="s">
        <v>2156</v>
      </c>
      <c r="I53" s="190"/>
      <c r="J53" s="189"/>
    </row>
    <row r="54" spans="1:10" ht="12" customHeight="1">
      <c r="A54" s="29" t="s">
        <v>404</v>
      </c>
      <c r="B54" s="29" t="s">
        <v>48</v>
      </c>
      <c r="C54" s="29" t="s">
        <v>1951</v>
      </c>
      <c r="D54" s="189" t="s">
        <v>2148</v>
      </c>
      <c r="E54" s="189" t="s">
        <v>2157</v>
      </c>
      <c r="F54" s="29" t="s">
        <v>2158</v>
      </c>
      <c r="G54" s="189" t="s">
        <v>2159</v>
      </c>
      <c r="H54" s="29" t="s">
        <v>2160</v>
      </c>
      <c r="I54" s="190"/>
      <c r="J54" s="189"/>
    </row>
    <row r="55" spans="1:10" ht="12" customHeight="1">
      <c r="A55" s="29" t="s">
        <v>407</v>
      </c>
      <c r="B55" s="29" t="s">
        <v>48</v>
      </c>
      <c r="C55" s="29" t="s">
        <v>1951</v>
      </c>
      <c r="D55" s="189" t="s">
        <v>2161</v>
      </c>
      <c r="E55" s="189" t="s">
        <v>2162</v>
      </c>
      <c r="F55" s="29" t="s">
        <v>2163</v>
      </c>
      <c r="G55" s="189" t="s">
        <v>2164</v>
      </c>
      <c r="H55" s="29" t="s">
        <v>2165</v>
      </c>
      <c r="I55" s="190"/>
      <c r="J55" s="189"/>
    </row>
    <row r="56" spans="1:10" ht="12" customHeight="1">
      <c r="A56" s="29" t="s">
        <v>411</v>
      </c>
      <c r="B56" s="29" t="s">
        <v>48</v>
      </c>
      <c r="C56" s="29" t="s">
        <v>1951</v>
      </c>
      <c r="D56" s="189" t="s">
        <v>2161</v>
      </c>
      <c r="E56" s="29" t="s">
        <v>2166</v>
      </c>
      <c r="F56" s="29" t="s">
        <v>2167</v>
      </c>
      <c r="G56" s="189" t="s">
        <v>2085</v>
      </c>
      <c r="H56" s="29" t="s">
        <v>2168</v>
      </c>
      <c r="I56" s="190"/>
      <c r="J56" s="189"/>
    </row>
    <row r="57" spans="1:10" ht="12" customHeight="1">
      <c r="A57" s="29" t="s">
        <v>414</v>
      </c>
      <c r="B57" s="29" t="s">
        <v>48</v>
      </c>
      <c r="C57" s="29" t="s">
        <v>1951</v>
      </c>
      <c r="D57" s="189" t="s">
        <v>2161</v>
      </c>
      <c r="E57" s="29" t="s">
        <v>2169</v>
      </c>
      <c r="F57" s="29" t="s">
        <v>2170</v>
      </c>
      <c r="G57" s="189" t="s">
        <v>1962</v>
      </c>
      <c r="H57" s="29" t="s">
        <v>2171</v>
      </c>
      <c r="I57" s="190"/>
      <c r="J57" s="189"/>
    </row>
    <row r="58" spans="1:10" ht="12" customHeight="1">
      <c r="A58" s="29" t="s">
        <v>419</v>
      </c>
      <c r="B58" s="29" t="s">
        <v>48</v>
      </c>
      <c r="C58" s="29" t="s">
        <v>1951</v>
      </c>
      <c r="D58" s="189" t="s">
        <v>2161</v>
      </c>
      <c r="E58" s="189" t="s">
        <v>2172</v>
      </c>
      <c r="F58" s="29" t="s">
        <v>2173</v>
      </c>
      <c r="G58" s="189" t="s">
        <v>2174</v>
      </c>
      <c r="H58" s="29" t="s">
        <v>2175</v>
      </c>
      <c r="I58" s="190"/>
      <c r="J58" s="189"/>
    </row>
    <row r="59" spans="1:10" ht="12" customHeight="1">
      <c r="A59" s="29" t="s">
        <v>424</v>
      </c>
      <c r="B59" s="29" t="s">
        <v>48</v>
      </c>
      <c r="C59" s="29" t="s">
        <v>1951</v>
      </c>
      <c r="D59" s="189" t="s">
        <v>2161</v>
      </c>
      <c r="E59" s="189" t="s">
        <v>2176</v>
      </c>
      <c r="F59" s="29" t="s">
        <v>2177</v>
      </c>
      <c r="G59" s="189" t="s">
        <v>2178</v>
      </c>
      <c r="H59" s="29" t="s">
        <v>2179</v>
      </c>
      <c r="I59" s="190"/>
      <c r="J59" s="189"/>
    </row>
    <row r="60" spans="1:10" ht="12" customHeight="1">
      <c r="A60" s="29" t="s">
        <v>429</v>
      </c>
      <c r="B60" s="29" t="s">
        <v>48</v>
      </c>
      <c r="C60" s="29" t="s">
        <v>1951</v>
      </c>
      <c r="D60" s="189" t="s">
        <v>2161</v>
      </c>
      <c r="E60" s="189" t="s">
        <v>2180</v>
      </c>
      <c r="F60" s="29" t="s">
        <v>2181</v>
      </c>
      <c r="G60" s="189" t="s">
        <v>2178</v>
      </c>
      <c r="H60" s="29" t="s">
        <v>2182</v>
      </c>
      <c r="I60" s="190"/>
      <c r="J60" s="189"/>
    </row>
    <row r="61" spans="1:10" ht="12" customHeight="1">
      <c r="A61" s="29" t="s">
        <v>434</v>
      </c>
      <c r="B61" s="29" t="s">
        <v>48</v>
      </c>
      <c r="C61" s="29" t="s">
        <v>1951</v>
      </c>
      <c r="D61" s="189" t="s">
        <v>2183</v>
      </c>
      <c r="E61" s="189" t="s">
        <v>2184</v>
      </c>
      <c r="F61" s="29" t="s">
        <v>2185</v>
      </c>
      <c r="G61" s="189" t="s">
        <v>2186</v>
      </c>
      <c r="H61" s="29" t="s">
        <v>2187</v>
      </c>
      <c r="I61" s="190"/>
      <c r="J61" s="189"/>
    </row>
    <row r="62" spans="1:10" ht="12" customHeight="1">
      <c r="A62" s="29" t="s">
        <v>439</v>
      </c>
      <c r="B62" s="29" t="s">
        <v>48</v>
      </c>
      <c r="C62" s="29" t="s">
        <v>1951</v>
      </c>
      <c r="D62" s="189" t="s">
        <v>2183</v>
      </c>
      <c r="E62" s="189" t="s">
        <v>2188</v>
      </c>
      <c r="F62" s="29" t="s">
        <v>2189</v>
      </c>
      <c r="G62" s="189" t="s">
        <v>2190</v>
      </c>
      <c r="H62" s="29" t="s">
        <v>2191</v>
      </c>
      <c r="I62" s="190"/>
      <c r="J62" s="189"/>
    </row>
    <row r="63" spans="1:10" ht="12" customHeight="1">
      <c r="A63" s="29" t="s">
        <v>443</v>
      </c>
      <c r="B63" s="29" t="s">
        <v>48</v>
      </c>
      <c r="C63" s="29" t="s">
        <v>1951</v>
      </c>
      <c r="D63" s="189" t="s">
        <v>2183</v>
      </c>
      <c r="E63" s="29" t="s">
        <v>2192</v>
      </c>
      <c r="F63" s="29" t="s">
        <v>2193</v>
      </c>
      <c r="G63" s="189" t="s">
        <v>2085</v>
      </c>
      <c r="H63" s="29" t="s">
        <v>2194</v>
      </c>
      <c r="I63" s="190"/>
      <c r="J63" s="189"/>
    </row>
    <row r="64" spans="1:10" ht="12" customHeight="1">
      <c r="A64" s="29" t="s">
        <v>447</v>
      </c>
      <c r="B64" s="29" t="s">
        <v>48</v>
      </c>
      <c r="C64" s="29" t="s">
        <v>1951</v>
      </c>
      <c r="D64" s="189" t="s">
        <v>2183</v>
      </c>
      <c r="E64" s="29" t="s">
        <v>2195</v>
      </c>
      <c r="F64" s="29" t="s">
        <v>2196</v>
      </c>
      <c r="G64" s="189" t="s">
        <v>1962</v>
      </c>
      <c r="H64" s="29" t="s">
        <v>2197</v>
      </c>
      <c r="I64" s="190"/>
      <c r="J64" s="189"/>
    </row>
    <row r="65" spans="1:10" ht="12" customHeight="1">
      <c r="A65" s="29" t="s">
        <v>451</v>
      </c>
      <c r="B65" s="29" t="s">
        <v>48</v>
      </c>
      <c r="C65" s="29" t="s">
        <v>1951</v>
      </c>
      <c r="D65" s="189" t="s">
        <v>2183</v>
      </c>
      <c r="E65" s="189" t="s">
        <v>2198</v>
      </c>
      <c r="F65" s="29" t="s">
        <v>2199</v>
      </c>
      <c r="G65" s="189" t="s">
        <v>2200</v>
      </c>
      <c r="H65" s="29" t="s">
        <v>2201</v>
      </c>
      <c r="I65" s="190"/>
      <c r="J65" s="189"/>
    </row>
    <row r="66" spans="1:10" ht="12" customHeight="1">
      <c r="A66" s="29" t="s">
        <v>455</v>
      </c>
      <c r="B66" s="29" t="s">
        <v>48</v>
      </c>
      <c r="C66" s="29" t="s">
        <v>1951</v>
      </c>
      <c r="D66" s="189" t="s">
        <v>2183</v>
      </c>
      <c r="E66" s="189" t="s">
        <v>2202</v>
      </c>
      <c r="F66" s="29" t="s">
        <v>2203</v>
      </c>
      <c r="G66" s="189" t="s">
        <v>2204</v>
      </c>
      <c r="H66" s="29" t="s">
        <v>2205</v>
      </c>
      <c r="I66" s="190"/>
      <c r="J66" s="189"/>
    </row>
    <row r="67" spans="1:10" ht="12" customHeight="1">
      <c r="A67" s="29" t="s">
        <v>459</v>
      </c>
      <c r="B67" s="29" t="s">
        <v>48</v>
      </c>
      <c r="C67" s="29" t="s">
        <v>1951</v>
      </c>
      <c r="D67" s="189" t="s">
        <v>2183</v>
      </c>
      <c r="E67" s="189" t="s">
        <v>2180</v>
      </c>
      <c r="F67" s="29" t="s">
        <v>2206</v>
      </c>
      <c r="G67" s="189" t="s">
        <v>2204</v>
      </c>
      <c r="H67" s="29" t="s">
        <v>2207</v>
      </c>
      <c r="I67" s="190"/>
      <c r="J67" s="189"/>
    </row>
    <row r="68" spans="1:10" ht="12" customHeight="1">
      <c r="A68" s="29" t="s">
        <v>465</v>
      </c>
      <c r="B68" s="29" t="s">
        <v>48</v>
      </c>
      <c r="C68" s="29" t="s">
        <v>1951</v>
      </c>
      <c r="D68" s="189" t="s">
        <v>1951</v>
      </c>
      <c r="E68" s="29" t="s">
        <v>2208</v>
      </c>
      <c r="F68" s="29" t="s">
        <v>2209</v>
      </c>
      <c r="G68" s="29" t="s">
        <v>2076</v>
      </c>
      <c r="H68" s="29" t="s">
        <v>2210</v>
      </c>
      <c r="I68" s="190"/>
      <c r="J68" s="189"/>
    </row>
    <row r="69" spans="1:10" ht="12" customHeight="1">
      <c r="A69" s="29" t="s">
        <v>774</v>
      </c>
      <c r="B69" s="29" t="s">
        <v>48</v>
      </c>
      <c r="C69" s="29" t="s">
        <v>1951</v>
      </c>
      <c r="D69" s="189" t="s">
        <v>1951</v>
      </c>
      <c r="E69" s="29" t="s">
        <v>2211</v>
      </c>
      <c r="F69" s="29" t="s">
        <v>2212</v>
      </c>
      <c r="G69" s="29" t="s">
        <v>2052</v>
      </c>
      <c r="H69" s="29" t="s">
        <v>2213</v>
      </c>
      <c r="I69" s="190"/>
      <c r="J69" s="189"/>
    </row>
    <row r="70" spans="1:10" ht="12" customHeight="1">
      <c r="A70" s="29" t="s">
        <v>471</v>
      </c>
      <c r="B70" s="29" t="s">
        <v>48</v>
      </c>
      <c r="C70" s="29" t="s">
        <v>1951</v>
      </c>
      <c r="D70" s="189" t="s">
        <v>1951</v>
      </c>
      <c r="E70" s="29" t="s">
        <v>2214</v>
      </c>
      <c r="F70" s="29" t="s">
        <v>2215</v>
      </c>
      <c r="G70" s="29" t="s">
        <v>2056</v>
      </c>
      <c r="H70" s="29" t="s">
        <v>2216</v>
      </c>
      <c r="I70" s="190"/>
      <c r="J70" s="189"/>
    </row>
    <row r="71" spans="1:10" ht="12" customHeight="1">
      <c r="A71" s="29" t="s">
        <v>475</v>
      </c>
      <c r="B71" s="29" t="s">
        <v>48</v>
      </c>
      <c r="C71" s="29" t="s">
        <v>1951</v>
      </c>
      <c r="D71" s="189" t="s">
        <v>775</v>
      </c>
      <c r="E71" s="29" t="s">
        <v>2217</v>
      </c>
      <c r="F71" s="29" t="s">
        <v>2218</v>
      </c>
      <c r="G71" s="29" t="s">
        <v>2219</v>
      </c>
      <c r="H71" s="29" t="s">
        <v>2220</v>
      </c>
      <c r="I71" s="190"/>
      <c r="J71" s="189"/>
    </row>
    <row r="72" spans="1:10" ht="12" customHeight="1">
      <c r="A72" s="29" t="s">
        <v>479</v>
      </c>
      <c r="B72" s="29" t="s">
        <v>48</v>
      </c>
      <c r="C72" s="29" t="s">
        <v>1951</v>
      </c>
      <c r="D72" s="189" t="s">
        <v>775</v>
      </c>
      <c r="E72" s="29" t="s">
        <v>2221</v>
      </c>
      <c r="F72" s="29" t="s">
        <v>2222</v>
      </c>
      <c r="G72" s="29" t="s">
        <v>2064</v>
      </c>
      <c r="H72" s="29" t="s">
        <v>2223</v>
      </c>
      <c r="I72" s="190"/>
      <c r="J72" s="191"/>
    </row>
    <row r="73" spans="1:10" ht="12" customHeight="1">
      <c r="A73" s="29" t="s">
        <v>483</v>
      </c>
      <c r="B73" s="29" t="s">
        <v>48</v>
      </c>
      <c r="C73" s="29" t="s">
        <v>2224</v>
      </c>
      <c r="D73" s="188" t="s">
        <v>812</v>
      </c>
      <c r="E73" s="29" t="s">
        <v>2225</v>
      </c>
      <c r="F73" s="29" t="s">
        <v>2226</v>
      </c>
      <c r="G73" s="189" t="s">
        <v>2227</v>
      </c>
      <c r="H73" s="189"/>
      <c r="I73" s="83"/>
      <c r="J73" s="84"/>
    </row>
    <row r="74" spans="1:10" ht="12" customHeight="1">
      <c r="A74" s="29" t="s">
        <v>796</v>
      </c>
      <c r="B74" s="29" t="s">
        <v>48</v>
      </c>
      <c r="C74" s="29" t="s">
        <v>2224</v>
      </c>
      <c r="D74" s="188" t="s">
        <v>812</v>
      </c>
      <c r="E74" s="29" t="s">
        <v>2228</v>
      </c>
      <c r="F74" s="29" t="s">
        <v>2229</v>
      </c>
      <c r="G74" s="189" t="s">
        <v>2230</v>
      </c>
      <c r="H74" s="189" t="s">
        <v>2231</v>
      </c>
      <c r="I74" s="190"/>
      <c r="J74" s="189"/>
    </row>
    <row r="75" spans="1:10" ht="12" customHeight="1">
      <c r="A75" s="29" t="s">
        <v>801</v>
      </c>
      <c r="B75" s="29" t="s">
        <v>48</v>
      </c>
      <c r="C75" s="29" t="s">
        <v>2224</v>
      </c>
      <c r="D75" s="188" t="s">
        <v>2232</v>
      </c>
      <c r="E75" s="29" t="s">
        <v>2233</v>
      </c>
      <c r="F75" s="29" t="s">
        <v>2234</v>
      </c>
      <c r="G75" s="189" t="s">
        <v>2235</v>
      </c>
      <c r="H75" s="189"/>
      <c r="I75" s="83"/>
      <c r="J75" s="84"/>
    </row>
    <row r="76" spans="1:10" ht="12" customHeight="1">
      <c r="A76" s="29" t="s">
        <v>806</v>
      </c>
      <c r="B76" s="29" t="s">
        <v>48</v>
      </c>
      <c r="C76" s="29" t="s">
        <v>2224</v>
      </c>
      <c r="D76" s="188" t="s">
        <v>2232</v>
      </c>
      <c r="E76" s="29" t="s">
        <v>2236</v>
      </c>
      <c r="F76" s="29" t="s">
        <v>2234</v>
      </c>
      <c r="G76" s="189" t="s">
        <v>2237</v>
      </c>
      <c r="H76" s="189" t="s">
        <v>2238</v>
      </c>
      <c r="I76" s="83"/>
      <c r="J76" s="85"/>
    </row>
    <row r="77" spans="1:10" ht="12" customHeight="1">
      <c r="A77" s="29" t="s">
        <v>811</v>
      </c>
      <c r="B77" s="29" t="s">
        <v>48</v>
      </c>
      <c r="C77" s="29" t="s">
        <v>2224</v>
      </c>
      <c r="D77" s="188" t="s">
        <v>2232</v>
      </c>
      <c r="E77" s="29" t="s">
        <v>2239</v>
      </c>
      <c r="F77" s="29" t="s">
        <v>2240</v>
      </c>
      <c r="G77" s="189" t="s">
        <v>2241</v>
      </c>
      <c r="H77" s="189"/>
      <c r="I77" s="83"/>
      <c r="J77" s="84"/>
    </row>
    <row r="78" spans="1:10" ht="12" customHeight="1">
      <c r="A78" s="29" t="s">
        <v>816</v>
      </c>
      <c r="B78" s="29" t="s">
        <v>48</v>
      </c>
      <c r="C78" s="29" t="s">
        <v>2224</v>
      </c>
      <c r="D78" s="188" t="s">
        <v>2232</v>
      </c>
      <c r="E78" s="29" t="s">
        <v>2242</v>
      </c>
      <c r="F78" s="29" t="s">
        <v>2243</v>
      </c>
      <c r="G78" s="189" t="s">
        <v>2244</v>
      </c>
      <c r="H78" s="189"/>
      <c r="I78" s="83"/>
      <c r="J78" s="84"/>
    </row>
    <row r="79" spans="1:10" ht="12" customHeight="1">
      <c r="A79" s="29" t="s">
        <v>821</v>
      </c>
      <c r="B79" s="29" t="s">
        <v>48</v>
      </c>
      <c r="C79" s="29" t="s">
        <v>2224</v>
      </c>
      <c r="D79" s="188" t="s">
        <v>2232</v>
      </c>
      <c r="E79" s="29" t="s">
        <v>2245</v>
      </c>
      <c r="F79" s="29" t="s">
        <v>2246</v>
      </c>
      <c r="G79" s="189" t="s">
        <v>2247</v>
      </c>
      <c r="H79" s="189"/>
      <c r="I79" s="83"/>
      <c r="J79" s="84"/>
    </row>
    <row r="80" spans="1:10" ht="12" customHeight="1">
      <c r="A80" s="29" t="s">
        <v>826</v>
      </c>
      <c r="B80" s="29" t="s">
        <v>48</v>
      </c>
      <c r="C80" s="29" t="s">
        <v>2224</v>
      </c>
      <c r="D80" s="188" t="s">
        <v>2232</v>
      </c>
      <c r="E80" s="29" t="s">
        <v>2248</v>
      </c>
      <c r="F80" s="29" t="s">
        <v>2249</v>
      </c>
      <c r="G80" s="189" t="s">
        <v>2250</v>
      </c>
      <c r="H80" s="189"/>
      <c r="I80" s="83"/>
      <c r="J80" s="84"/>
    </row>
    <row r="81" spans="1:10" ht="12" customHeight="1">
      <c r="A81" s="29" t="s">
        <v>1205</v>
      </c>
      <c r="B81" s="29" t="s">
        <v>48</v>
      </c>
      <c r="C81" s="29" t="s">
        <v>2224</v>
      </c>
      <c r="D81" s="188" t="s">
        <v>1951</v>
      </c>
      <c r="E81" s="189" t="s">
        <v>2251</v>
      </c>
      <c r="F81" s="29" t="s">
        <v>2252</v>
      </c>
      <c r="G81" s="189" t="s">
        <v>2118</v>
      </c>
      <c r="H81" s="189" t="s">
        <v>2253</v>
      </c>
      <c r="I81" s="83"/>
      <c r="J81" s="85"/>
    </row>
    <row r="82" spans="1:10" ht="12" customHeight="1">
      <c r="A82" s="29" t="s">
        <v>1211</v>
      </c>
      <c r="B82" s="29" t="s">
        <v>48</v>
      </c>
      <c r="C82" s="29" t="s">
        <v>2224</v>
      </c>
      <c r="D82" s="29" t="s">
        <v>1951</v>
      </c>
      <c r="E82" s="189" t="s">
        <v>2120</v>
      </c>
      <c r="F82" s="29" t="s">
        <v>2254</v>
      </c>
      <c r="G82" s="189" t="s">
        <v>2014</v>
      </c>
      <c r="H82" s="189" t="s">
        <v>2255</v>
      </c>
      <c r="I82" s="120"/>
      <c r="J82" s="29"/>
    </row>
    <row r="83" spans="1:10" ht="12" customHeight="1">
      <c r="A83" s="29" t="s">
        <v>1217</v>
      </c>
      <c r="B83" s="29" t="s">
        <v>48</v>
      </c>
      <c r="C83" s="29" t="s">
        <v>2224</v>
      </c>
      <c r="D83" s="29" t="s">
        <v>2256</v>
      </c>
      <c r="E83" s="189" t="s">
        <v>2257</v>
      </c>
      <c r="F83" s="29" t="s">
        <v>2258</v>
      </c>
      <c r="G83" s="189" t="s">
        <v>2259</v>
      </c>
      <c r="H83" s="189"/>
      <c r="I83" s="86"/>
      <c r="J83" s="87"/>
    </row>
    <row r="84" spans="1:10" ht="12" customHeight="1">
      <c r="A84" s="29" t="s">
        <v>1223</v>
      </c>
      <c r="B84" s="29" t="s">
        <v>48</v>
      </c>
      <c r="C84" s="29" t="s">
        <v>2224</v>
      </c>
      <c r="D84" s="29" t="s">
        <v>2256</v>
      </c>
      <c r="E84" s="189" t="s">
        <v>2260</v>
      </c>
      <c r="F84" s="29" t="s">
        <v>2261</v>
      </c>
      <c r="G84" s="189" t="s">
        <v>2262</v>
      </c>
      <c r="H84" s="189"/>
      <c r="I84" s="83"/>
      <c r="J84" s="84"/>
    </row>
    <row r="85" spans="1:10" ht="12" customHeight="1">
      <c r="A85" s="29" t="s">
        <v>1229</v>
      </c>
      <c r="B85" s="29" t="s">
        <v>48</v>
      </c>
      <c r="C85" s="29" t="s">
        <v>2263</v>
      </c>
      <c r="D85" s="29" t="s">
        <v>1951</v>
      </c>
      <c r="E85" s="29" t="s">
        <v>2264</v>
      </c>
      <c r="F85" s="29" t="s">
        <v>2265</v>
      </c>
      <c r="G85" s="189" t="s">
        <v>2266</v>
      </c>
      <c r="H85" s="189"/>
      <c r="I85" s="83"/>
      <c r="J85" s="84"/>
    </row>
    <row r="86" spans="1:10" ht="12" customHeight="1">
      <c r="A86" s="29" t="s">
        <v>1234</v>
      </c>
      <c r="B86" s="29" t="s">
        <v>48</v>
      </c>
      <c r="C86" s="29" t="s">
        <v>2263</v>
      </c>
      <c r="D86" s="29" t="s">
        <v>1951</v>
      </c>
      <c r="E86" s="29" t="s">
        <v>2267</v>
      </c>
      <c r="F86" s="29" t="s">
        <v>2268</v>
      </c>
      <c r="G86" s="189" t="s">
        <v>2269</v>
      </c>
      <c r="H86" s="189"/>
      <c r="I86" s="83"/>
      <c r="J86" s="84"/>
    </row>
    <row r="87" spans="1:10" ht="12" customHeight="1">
      <c r="A87" s="29" t="s">
        <v>1239</v>
      </c>
      <c r="B87" s="29" t="s">
        <v>48</v>
      </c>
      <c r="C87" s="29" t="s">
        <v>2263</v>
      </c>
      <c r="D87" s="29" t="s">
        <v>1951</v>
      </c>
      <c r="E87" s="29" t="s">
        <v>2270</v>
      </c>
      <c r="F87" s="29" t="s">
        <v>2271</v>
      </c>
      <c r="G87" s="189" t="s">
        <v>2272</v>
      </c>
      <c r="H87" s="189"/>
      <c r="I87" s="83"/>
      <c r="J87" s="84"/>
    </row>
    <row r="88" spans="1:10" ht="12" customHeight="1">
      <c r="A88" s="29" t="s">
        <v>1244</v>
      </c>
      <c r="B88" s="29" t="s">
        <v>48</v>
      </c>
      <c r="C88" s="29" t="s">
        <v>2263</v>
      </c>
      <c r="D88" s="29" t="s">
        <v>1951</v>
      </c>
      <c r="E88" s="29" t="s">
        <v>2273</v>
      </c>
      <c r="F88" s="29" t="s">
        <v>2274</v>
      </c>
      <c r="G88" s="189" t="s">
        <v>2275</v>
      </c>
      <c r="H88" s="189"/>
      <c r="I88" s="83"/>
      <c r="J88" s="84"/>
    </row>
    <row r="89" spans="1:10" ht="12" customHeight="1">
      <c r="A89" s="29" t="s">
        <v>1250</v>
      </c>
      <c r="B89" s="29" t="s">
        <v>48</v>
      </c>
      <c r="C89" s="29" t="s">
        <v>2263</v>
      </c>
      <c r="D89" s="29" t="s">
        <v>1951</v>
      </c>
      <c r="E89" s="29" t="s">
        <v>2276</v>
      </c>
      <c r="F89" s="29" t="s">
        <v>2277</v>
      </c>
      <c r="G89" s="189" t="s">
        <v>2278</v>
      </c>
      <c r="H89" s="189"/>
      <c r="I89" s="83"/>
      <c r="J89" s="87"/>
    </row>
    <row r="90" spans="1:10" ht="12" customHeight="1">
      <c r="A90" s="29" t="s">
        <v>1257</v>
      </c>
      <c r="B90" s="29" t="s">
        <v>48</v>
      </c>
      <c r="C90" s="29" t="s">
        <v>2263</v>
      </c>
      <c r="D90" s="29" t="s">
        <v>1951</v>
      </c>
      <c r="E90" s="29" t="s">
        <v>2245</v>
      </c>
      <c r="F90" s="29" t="s">
        <v>2279</v>
      </c>
      <c r="G90" s="189" t="s">
        <v>2280</v>
      </c>
      <c r="H90" s="189"/>
      <c r="I90" s="83"/>
      <c r="J90" s="84"/>
    </row>
    <row r="91" spans="1:10" ht="12" customHeight="1">
      <c r="A91" s="29" t="s">
        <v>1262</v>
      </c>
      <c r="B91" s="29" t="s">
        <v>48</v>
      </c>
      <c r="C91" s="29" t="s">
        <v>2263</v>
      </c>
      <c r="D91" s="29" t="s">
        <v>1951</v>
      </c>
      <c r="E91" s="29" t="s">
        <v>2281</v>
      </c>
      <c r="F91" s="29" t="s">
        <v>2279</v>
      </c>
      <c r="G91" s="189" t="s">
        <v>2282</v>
      </c>
      <c r="H91" s="189"/>
      <c r="I91" s="83"/>
      <c r="J91" s="84"/>
    </row>
    <row r="92" spans="1:10" ht="12" customHeight="1">
      <c r="A92" s="29" t="s">
        <v>1268</v>
      </c>
      <c r="B92" s="29" t="s">
        <v>48</v>
      </c>
      <c r="C92" s="29" t="s">
        <v>2263</v>
      </c>
      <c r="D92" s="29" t="s">
        <v>1951</v>
      </c>
      <c r="E92" s="29" t="s">
        <v>2283</v>
      </c>
      <c r="F92" s="29" t="s">
        <v>2284</v>
      </c>
      <c r="G92" s="189" t="s">
        <v>2085</v>
      </c>
      <c r="H92" s="189"/>
      <c r="I92" s="83"/>
      <c r="J92" s="191"/>
    </row>
    <row r="93" spans="1:10" ht="12" customHeight="1">
      <c r="A93" s="29" t="s">
        <v>1274</v>
      </c>
      <c r="B93" s="29" t="s">
        <v>48</v>
      </c>
      <c r="C93" s="29" t="s">
        <v>2263</v>
      </c>
      <c r="D93" s="29" t="s">
        <v>2285</v>
      </c>
      <c r="E93" s="189" t="s">
        <v>2286</v>
      </c>
      <c r="F93" s="189" t="s">
        <v>2287</v>
      </c>
      <c r="G93" s="189" t="s">
        <v>2288</v>
      </c>
      <c r="H93" s="189"/>
      <c r="I93" s="86"/>
      <c r="J93" s="87"/>
    </row>
    <row r="94" spans="1:10" ht="12" customHeight="1">
      <c r="A94" s="29" t="s">
        <v>1280</v>
      </c>
      <c r="B94" s="188" t="s">
        <v>48</v>
      </c>
      <c r="C94" s="188" t="s">
        <v>2263</v>
      </c>
      <c r="D94" s="29" t="s">
        <v>2285</v>
      </c>
      <c r="E94" s="189" t="s">
        <v>2289</v>
      </c>
      <c r="F94" s="189" t="s">
        <v>2290</v>
      </c>
      <c r="G94" s="189" t="s">
        <v>2291</v>
      </c>
      <c r="H94" s="189"/>
      <c r="I94" s="83"/>
      <c r="J94" s="84"/>
    </row>
    <row r="95" spans="1:10" ht="12" customHeight="1">
      <c r="A95" s="29" t="s">
        <v>1286</v>
      </c>
      <c r="B95" s="188" t="s">
        <v>48</v>
      </c>
      <c r="C95" s="29" t="s">
        <v>2224</v>
      </c>
      <c r="D95" s="29" t="s">
        <v>1951</v>
      </c>
      <c r="E95" s="189" t="s">
        <v>2292</v>
      </c>
      <c r="F95" s="29" t="s">
        <v>2293</v>
      </c>
      <c r="G95" s="189" t="s">
        <v>2294</v>
      </c>
      <c r="H95" s="189"/>
      <c r="I95" s="83"/>
      <c r="J95" s="84"/>
    </row>
    <row r="96" spans="1:10" ht="12" customHeight="1">
      <c r="A96" s="29" t="s">
        <v>1292</v>
      </c>
      <c r="B96" s="188" t="s">
        <v>48</v>
      </c>
      <c r="C96" s="29" t="s">
        <v>2224</v>
      </c>
      <c r="D96" s="188" t="s">
        <v>2232</v>
      </c>
      <c r="E96" s="51" t="s">
        <v>2295</v>
      </c>
      <c r="F96" s="29" t="s">
        <v>2296</v>
      </c>
      <c r="G96" s="189" t="s">
        <v>2297</v>
      </c>
      <c r="H96" s="189"/>
      <c r="I96" s="83"/>
      <c r="J96" s="84"/>
    </row>
    <row r="97" spans="1:10" ht="12" customHeight="1">
      <c r="A97" s="29" t="s">
        <v>1298</v>
      </c>
      <c r="B97" s="188" t="s">
        <v>48</v>
      </c>
      <c r="C97" s="188" t="s">
        <v>2263</v>
      </c>
      <c r="D97" s="188" t="s">
        <v>2232</v>
      </c>
      <c r="E97" s="51" t="s">
        <v>2298</v>
      </c>
      <c r="F97" s="29" t="s">
        <v>2299</v>
      </c>
      <c r="G97" s="189" t="s">
        <v>2297</v>
      </c>
      <c r="H97" s="189"/>
      <c r="I97" s="83"/>
      <c r="J97" s="84"/>
    </row>
    <row r="98" spans="1:10" ht="12" customHeight="1">
      <c r="A98" s="29" t="s">
        <v>1304</v>
      </c>
      <c r="B98" s="188" t="s">
        <v>48</v>
      </c>
      <c r="C98" s="29" t="s">
        <v>2224</v>
      </c>
      <c r="D98" s="188" t="s">
        <v>1999</v>
      </c>
      <c r="E98" s="189" t="s">
        <v>2000</v>
      </c>
      <c r="F98" s="29" t="s">
        <v>2300</v>
      </c>
      <c r="G98" s="189" t="s">
        <v>2002</v>
      </c>
      <c r="H98" s="189"/>
      <c r="I98" s="83"/>
      <c r="J98" s="84"/>
    </row>
    <row r="99" spans="1:10" ht="12" customHeight="1">
      <c r="A99" s="29" t="s">
        <v>1310</v>
      </c>
      <c r="B99" s="188" t="s">
        <v>48</v>
      </c>
      <c r="C99" s="29" t="s">
        <v>2224</v>
      </c>
      <c r="D99" s="188" t="s">
        <v>1999</v>
      </c>
      <c r="E99" s="189" t="s">
        <v>2301</v>
      </c>
      <c r="F99" s="29" t="s">
        <v>2302</v>
      </c>
      <c r="G99" s="189" t="s">
        <v>2303</v>
      </c>
      <c r="H99" s="189"/>
      <c r="I99" s="83"/>
      <c r="J99" s="84"/>
    </row>
    <row r="100" spans="1:10" ht="12" customHeight="1">
      <c r="A100" s="29" t="s">
        <v>1316</v>
      </c>
      <c r="B100" s="188" t="s">
        <v>48</v>
      </c>
      <c r="C100" s="188" t="s">
        <v>2263</v>
      </c>
      <c r="D100" s="188" t="s">
        <v>1999</v>
      </c>
      <c r="E100" s="189" t="s">
        <v>2304</v>
      </c>
      <c r="F100" s="29" t="s">
        <v>2305</v>
      </c>
      <c r="G100" s="189" t="s">
        <v>2306</v>
      </c>
      <c r="H100" s="189"/>
      <c r="I100" s="83"/>
      <c r="J100" s="84"/>
    </row>
    <row r="101" spans="1:10" ht="12" customHeight="1">
      <c r="A101" s="29" t="s">
        <v>1322</v>
      </c>
      <c r="B101" s="29" t="s">
        <v>48</v>
      </c>
      <c r="C101" s="29" t="s">
        <v>1951</v>
      </c>
      <c r="D101" s="188" t="s">
        <v>2307</v>
      </c>
      <c r="E101" s="189" t="s">
        <v>2308</v>
      </c>
      <c r="F101" s="29" t="s">
        <v>2309</v>
      </c>
      <c r="G101" s="189" t="s">
        <v>2310</v>
      </c>
      <c r="H101" s="189"/>
      <c r="I101" s="83"/>
      <c r="J101" s="84"/>
    </row>
    <row r="102" spans="1:10" ht="12" customHeight="1">
      <c r="A102" s="29" t="s">
        <v>1328</v>
      </c>
      <c r="B102" s="29" t="s">
        <v>48</v>
      </c>
      <c r="C102" s="9" t="s">
        <v>2311</v>
      </c>
      <c r="D102" s="9" t="s">
        <v>1063</v>
      </c>
      <c r="E102" s="9" t="s">
        <v>2312</v>
      </c>
      <c r="F102" s="29" t="s">
        <v>2313</v>
      </c>
      <c r="G102" s="9" t="s">
        <v>2314</v>
      </c>
      <c r="H102" s="159"/>
      <c r="I102" s="6"/>
      <c r="J102" s="88"/>
    </row>
    <row r="103" spans="1:10" ht="12" customHeight="1">
      <c r="A103" s="29" t="s">
        <v>1335</v>
      </c>
      <c r="B103" s="29" t="s">
        <v>48</v>
      </c>
      <c r="C103" s="9" t="s">
        <v>2315</v>
      </c>
      <c r="D103" s="9" t="s">
        <v>1063</v>
      </c>
      <c r="E103" s="9" t="s">
        <v>2316</v>
      </c>
      <c r="F103" s="29" t="s">
        <v>2317</v>
      </c>
      <c r="G103" s="159" t="s">
        <v>2318</v>
      </c>
      <c r="H103" s="159"/>
      <c r="I103" s="6"/>
      <c r="J103" s="88"/>
    </row>
    <row r="104" spans="1:10" ht="12" customHeight="1">
      <c r="A104" s="29" t="s">
        <v>1339</v>
      </c>
      <c r="B104" s="29" t="s">
        <v>48</v>
      </c>
      <c r="C104" s="9" t="s">
        <v>2315</v>
      </c>
      <c r="D104" s="9" t="s">
        <v>1063</v>
      </c>
      <c r="E104" s="159" t="s">
        <v>2319</v>
      </c>
      <c r="F104" s="29" t="s">
        <v>2320</v>
      </c>
      <c r="G104" s="159" t="s">
        <v>2321</v>
      </c>
      <c r="H104" s="159"/>
      <c r="I104" s="6"/>
      <c r="J104" s="88"/>
    </row>
    <row r="105" spans="1:10" ht="12" customHeight="1">
      <c r="A105" s="29" t="s">
        <v>1345</v>
      </c>
      <c r="B105" s="29" t="s">
        <v>48</v>
      </c>
      <c r="C105" s="9" t="s">
        <v>689</v>
      </c>
      <c r="D105" s="9" t="s">
        <v>2322</v>
      </c>
      <c r="E105" s="159" t="s">
        <v>2323</v>
      </c>
      <c r="F105" s="29" t="s">
        <v>2324</v>
      </c>
      <c r="G105" s="159" t="s">
        <v>2325</v>
      </c>
      <c r="H105" s="159"/>
      <c r="I105" s="6"/>
      <c r="J105" s="88"/>
    </row>
    <row r="106" spans="1:10" ht="12" customHeight="1">
      <c r="A106" s="29" t="s">
        <v>1350</v>
      </c>
      <c r="B106" s="29" t="s">
        <v>48</v>
      </c>
      <c r="C106" s="9" t="s">
        <v>689</v>
      </c>
      <c r="D106" s="9" t="s">
        <v>2322</v>
      </c>
      <c r="E106" s="159" t="s">
        <v>2326</v>
      </c>
      <c r="F106" s="29" t="s">
        <v>2327</v>
      </c>
      <c r="G106" s="159" t="s">
        <v>2328</v>
      </c>
      <c r="H106" s="159"/>
      <c r="I106" s="6"/>
      <c r="J106" s="88"/>
    </row>
    <row r="107" spans="1:10" ht="12" customHeight="1">
      <c r="A107" s="29" t="s">
        <v>1353</v>
      </c>
      <c r="B107" s="29" t="s">
        <v>48</v>
      </c>
      <c r="C107" s="9" t="s">
        <v>689</v>
      </c>
      <c r="D107" s="9" t="s">
        <v>2329</v>
      </c>
      <c r="E107" s="159" t="s">
        <v>2330</v>
      </c>
      <c r="F107" s="29" t="s">
        <v>2331</v>
      </c>
      <c r="G107" s="159" t="s">
        <v>2332</v>
      </c>
      <c r="H107" s="159"/>
      <c r="I107" s="6"/>
      <c r="J107" s="88"/>
    </row>
    <row r="108" spans="1:10" ht="12" customHeight="1">
      <c r="A108" s="29" t="s">
        <v>1359</v>
      </c>
      <c r="B108" s="29" t="s">
        <v>48</v>
      </c>
      <c r="C108" s="9" t="s">
        <v>689</v>
      </c>
      <c r="D108" s="9" t="s">
        <v>2329</v>
      </c>
      <c r="E108" s="159" t="s">
        <v>2333</v>
      </c>
      <c r="F108" s="29" t="s">
        <v>2334</v>
      </c>
      <c r="G108" s="159" t="s">
        <v>2335</v>
      </c>
      <c r="H108" s="159"/>
      <c r="I108" s="6"/>
      <c r="J108" s="88"/>
    </row>
    <row r="109" spans="1:10" ht="12" customHeight="1">
      <c r="A109" s="29" t="s">
        <v>1363</v>
      </c>
      <c r="B109" s="159" t="s">
        <v>48</v>
      </c>
      <c r="C109" s="159" t="s">
        <v>2336</v>
      </c>
      <c r="D109" s="159" t="s">
        <v>2337</v>
      </c>
      <c r="E109" s="159" t="s">
        <v>2338</v>
      </c>
      <c r="F109" s="29" t="s">
        <v>2339</v>
      </c>
      <c r="G109" s="159" t="s">
        <v>2340</v>
      </c>
      <c r="H109" s="159"/>
      <c r="I109" s="6"/>
      <c r="J109" s="88"/>
    </row>
    <row r="110" spans="1:10" ht="12" customHeight="1">
      <c r="A110" s="29" t="s">
        <v>1367</v>
      </c>
      <c r="B110" s="29" t="s">
        <v>48</v>
      </c>
      <c r="C110" s="9" t="s">
        <v>1951</v>
      </c>
      <c r="D110" s="9" t="s">
        <v>2341</v>
      </c>
      <c r="E110" s="159" t="s">
        <v>2342</v>
      </c>
      <c r="F110" s="29" t="s">
        <v>2343</v>
      </c>
      <c r="G110" s="159" t="s">
        <v>2344</v>
      </c>
      <c r="H110" s="159"/>
      <c r="I110" s="6"/>
      <c r="J110" s="88"/>
    </row>
    <row r="111" spans="1:10" ht="12" customHeight="1">
      <c r="A111" s="29" t="s">
        <v>1373</v>
      </c>
      <c r="B111" s="159" t="s">
        <v>48</v>
      </c>
      <c r="C111" s="159" t="s">
        <v>1951</v>
      </c>
      <c r="D111" s="159" t="s">
        <v>2345</v>
      </c>
      <c r="E111" s="159" t="s">
        <v>2346</v>
      </c>
      <c r="F111" s="29" t="s">
        <v>2347</v>
      </c>
      <c r="G111" s="159" t="s">
        <v>2348</v>
      </c>
      <c r="H111" s="159" t="s">
        <v>2349</v>
      </c>
      <c r="I111" s="120"/>
      <c r="J111" s="88"/>
    </row>
    <row r="112" spans="1:10" ht="12" customHeight="1">
      <c r="A112" s="29" t="s">
        <v>1378</v>
      </c>
      <c r="B112" s="29" t="s">
        <v>48</v>
      </c>
      <c r="C112" s="9" t="s">
        <v>1951</v>
      </c>
      <c r="D112" s="9" t="s">
        <v>2350</v>
      </c>
      <c r="E112" s="159" t="s">
        <v>2351</v>
      </c>
      <c r="F112" s="29" t="s">
        <v>2352</v>
      </c>
      <c r="G112" s="159" t="s">
        <v>2353</v>
      </c>
      <c r="H112" s="159" t="s">
        <v>2354</v>
      </c>
      <c r="I112" s="120"/>
      <c r="J112" s="88"/>
    </row>
    <row r="113" spans="1:10" ht="12" customHeight="1">
      <c r="A113" s="29" t="s">
        <v>1382</v>
      </c>
      <c r="B113" s="159" t="s">
        <v>48</v>
      </c>
      <c r="C113" s="159" t="s">
        <v>1951</v>
      </c>
      <c r="D113" s="159" t="s">
        <v>2355</v>
      </c>
      <c r="E113" s="159" t="s">
        <v>2356</v>
      </c>
      <c r="F113" s="29" t="s">
        <v>2357</v>
      </c>
      <c r="G113" s="159" t="s">
        <v>2358</v>
      </c>
      <c r="H113" s="159" t="s">
        <v>2359</v>
      </c>
      <c r="I113" s="120"/>
      <c r="J113" s="88"/>
    </row>
  </sheetData>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13"/>
  <sheetViews>
    <sheetView topLeftCell="E1" zoomScale="80" zoomScaleNormal="80" workbookViewId="0">
      <selection activeCell="I2" sqref="I2:J113"/>
    </sheetView>
  </sheetViews>
  <sheetFormatPr defaultColWidth="9.5703125" defaultRowHeight="29.25" customHeight="1"/>
  <cols>
    <col min="1" max="1" width="4.42578125" style="53" customWidth="1"/>
    <col min="2" max="2" width="12.28515625" style="53" customWidth="1"/>
    <col min="3" max="3" width="17" style="53" customWidth="1"/>
    <col min="4" max="4" width="19.140625" style="53" customWidth="1"/>
    <col min="5" max="5" width="42.42578125" style="53" customWidth="1"/>
    <col min="6" max="6" width="33.42578125" style="53" customWidth="1"/>
    <col min="7" max="7" width="24.5703125" style="53" customWidth="1"/>
    <col min="8" max="8" width="28.42578125" style="53" customWidth="1"/>
    <col min="9" max="9" width="8.7109375" style="212" customWidth="1"/>
    <col min="10" max="10" width="39.85546875" style="2" customWidth="1"/>
    <col min="11" max="17" width="9.5703125" style="53" customWidth="1"/>
    <col min="18" max="16384" width="9.5703125" style="53"/>
  </cols>
  <sheetData>
    <row r="1" spans="1:10" s="1" customFormat="1" ht="29.25" customHeight="1">
      <c r="A1" s="290" t="s">
        <v>2360</v>
      </c>
      <c r="B1" s="290" t="s">
        <v>38</v>
      </c>
      <c r="C1" s="290" t="s">
        <v>39</v>
      </c>
      <c r="D1" s="290" t="s">
        <v>40</v>
      </c>
      <c r="E1" s="290" t="s">
        <v>41</v>
      </c>
      <c r="F1" s="290" t="s">
        <v>42</v>
      </c>
      <c r="G1" s="136" t="s">
        <v>176</v>
      </c>
      <c r="H1" s="290" t="s">
        <v>177</v>
      </c>
      <c r="I1" s="211" t="s">
        <v>45</v>
      </c>
      <c r="J1" s="142" t="s">
        <v>46</v>
      </c>
    </row>
    <row r="2" spans="1:10" ht="29.25" customHeight="1">
      <c r="A2" s="160" t="s">
        <v>47</v>
      </c>
      <c r="B2" s="160" t="s">
        <v>48</v>
      </c>
      <c r="C2" s="160" t="s">
        <v>344</v>
      </c>
      <c r="D2" s="160" t="s">
        <v>2361</v>
      </c>
      <c r="E2" s="160" t="s">
        <v>2362</v>
      </c>
      <c r="F2" s="160" t="s">
        <v>2363</v>
      </c>
      <c r="G2" s="279" t="s">
        <v>2364</v>
      </c>
      <c r="H2" s="160" t="s">
        <v>2365</v>
      </c>
      <c r="I2" s="121"/>
      <c r="J2" s="160"/>
    </row>
    <row r="3" spans="1:10" ht="29.25" customHeight="1">
      <c r="A3" s="160" t="s">
        <v>55</v>
      </c>
      <c r="B3" s="160" t="s">
        <v>48</v>
      </c>
      <c r="C3" s="160" t="s">
        <v>344</v>
      </c>
      <c r="D3" s="160" t="s">
        <v>2361</v>
      </c>
      <c r="E3" s="160" t="s">
        <v>2366</v>
      </c>
      <c r="F3" s="160" t="s">
        <v>2367</v>
      </c>
      <c r="G3" s="279" t="s">
        <v>2368</v>
      </c>
      <c r="H3" s="160" t="s">
        <v>2369</v>
      </c>
      <c r="I3" s="121"/>
      <c r="J3" s="160"/>
    </row>
    <row r="4" spans="1:10" ht="29.25" customHeight="1">
      <c r="A4" s="160" t="s">
        <v>60</v>
      </c>
      <c r="B4" s="160" t="s">
        <v>48</v>
      </c>
      <c r="C4" s="160" t="s">
        <v>344</v>
      </c>
      <c r="D4" s="160" t="s">
        <v>2361</v>
      </c>
      <c r="E4" s="160" t="s">
        <v>2370</v>
      </c>
      <c r="F4" s="160" t="s">
        <v>2371</v>
      </c>
      <c r="G4" s="279" t="s">
        <v>1962</v>
      </c>
      <c r="H4" s="160" t="s">
        <v>2372</v>
      </c>
      <c r="I4" s="121"/>
      <c r="J4" s="160"/>
    </row>
    <row r="5" spans="1:10" ht="29.25" customHeight="1">
      <c r="A5" s="160" t="s">
        <v>65</v>
      </c>
      <c r="B5" s="160" t="s">
        <v>48</v>
      </c>
      <c r="C5" s="160" t="s">
        <v>344</v>
      </c>
      <c r="D5" s="160" t="s">
        <v>2361</v>
      </c>
      <c r="E5" s="279" t="s">
        <v>2373</v>
      </c>
      <c r="F5" s="160" t="s">
        <v>2374</v>
      </c>
      <c r="G5" s="279" t="s">
        <v>2375</v>
      </c>
      <c r="H5" s="160" t="s">
        <v>2376</v>
      </c>
      <c r="I5" s="121"/>
      <c r="J5" s="279"/>
    </row>
    <row r="6" spans="1:10" ht="29.25" customHeight="1">
      <c r="A6" s="160" t="s">
        <v>70</v>
      </c>
      <c r="B6" s="160" t="s">
        <v>48</v>
      </c>
      <c r="C6" s="160" t="s">
        <v>344</v>
      </c>
      <c r="D6" s="160" t="s">
        <v>2361</v>
      </c>
      <c r="E6" s="279" t="s">
        <v>2377</v>
      </c>
      <c r="F6" s="160" t="s">
        <v>2378</v>
      </c>
      <c r="G6" s="279" t="s">
        <v>2379</v>
      </c>
      <c r="H6" s="160" t="s">
        <v>2380</v>
      </c>
      <c r="I6" s="121"/>
      <c r="J6" s="279"/>
    </row>
    <row r="7" spans="1:10" ht="29.25" customHeight="1">
      <c r="A7" s="160" t="s">
        <v>74</v>
      </c>
      <c r="B7" s="160" t="s">
        <v>48</v>
      </c>
      <c r="C7" s="160" t="s">
        <v>344</v>
      </c>
      <c r="D7" s="160" t="s">
        <v>2361</v>
      </c>
      <c r="E7" s="279" t="s">
        <v>2381</v>
      </c>
      <c r="F7" s="160" t="s">
        <v>2382</v>
      </c>
      <c r="G7" s="279" t="s">
        <v>2379</v>
      </c>
      <c r="H7" s="160" t="s">
        <v>2383</v>
      </c>
      <c r="I7" s="121"/>
      <c r="J7" s="279"/>
    </row>
    <row r="8" spans="1:10" ht="29.25" customHeight="1">
      <c r="A8" s="160" t="s">
        <v>79</v>
      </c>
      <c r="B8" s="160" t="s">
        <v>48</v>
      </c>
      <c r="C8" s="279" t="s">
        <v>344</v>
      </c>
      <c r="D8" s="279" t="s">
        <v>2384</v>
      </c>
      <c r="E8" s="279" t="s">
        <v>2385</v>
      </c>
      <c r="F8" s="160" t="s">
        <v>2386</v>
      </c>
      <c r="G8" s="279" t="s">
        <v>2387</v>
      </c>
      <c r="H8" s="160" t="s">
        <v>2388</v>
      </c>
      <c r="I8" s="121"/>
      <c r="J8" s="279"/>
    </row>
    <row r="9" spans="1:10" ht="29.25" customHeight="1">
      <c r="A9" s="160" t="s">
        <v>84</v>
      </c>
      <c r="B9" s="160" t="s">
        <v>48</v>
      </c>
      <c r="C9" s="279" t="s">
        <v>344</v>
      </c>
      <c r="D9" s="279" t="s">
        <v>2384</v>
      </c>
      <c r="E9" s="279" t="s">
        <v>2389</v>
      </c>
      <c r="F9" s="160" t="s">
        <v>2390</v>
      </c>
      <c r="G9" s="279" t="s">
        <v>2391</v>
      </c>
      <c r="H9" s="160" t="s">
        <v>2392</v>
      </c>
      <c r="I9" s="121"/>
      <c r="J9" s="279"/>
    </row>
    <row r="10" spans="1:10" ht="29.25" customHeight="1">
      <c r="A10" s="160" t="s">
        <v>89</v>
      </c>
      <c r="B10" s="160" t="s">
        <v>48</v>
      </c>
      <c r="C10" s="279" t="s">
        <v>344</v>
      </c>
      <c r="D10" s="279" t="s">
        <v>2384</v>
      </c>
      <c r="E10" s="279" t="s">
        <v>2393</v>
      </c>
      <c r="F10" s="160" t="s">
        <v>2394</v>
      </c>
      <c r="G10" s="279" t="s">
        <v>2395</v>
      </c>
      <c r="H10" s="160" t="s">
        <v>2396</v>
      </c>
      <c r="I10" s="121"/>
      <c r="J10" s="279"/>
    </row>
    <row r="11" spans="1:10" ht="29.25" customHeight="1">
      <c r="A11" s="160" t="s">
        <v>94</v>
      </c>
      <c r="B11" s="160" t="s">
        <v>48</v>
      </c>
      <c r="C11" s="279" t="s">
        <v>344</v>
      </c>
      <c r="D11" s="279" t="s">
        <v>2384</v>
      </c>
      <c r="E11" s="279" t="s">
        <v>2397</v>
      </c>
      <c r="F11" s="160" t="s">
        <v>2398</v>
      </c>
      <c r="G11" s="279" t="s">
        <v>2399</v>
      </c>
      <c r="H11" s="160" t="s">
        <v>2400</v>
      </c>
      <c r="I11" s="121"/>
      <c r="J11" s="279"/>
    </row>
    <row r="12" spans="1:10" ht="29.25" customHeight="1">
      <c r="A12" s="160" t="s">
        <v>99</v>
      </c>
      <c r="B12" s="160" t="s">
        <v>48</v>
      </c>
      <c r="C12" s="279" t="s">
        <v>344</v>
      </c>
      <c r="D12" s="279" t="s">
        <v>2384</v>
      </c>
      <c r="E12" s="279" t="s">
        <v>2401</v>
      </c>
      <c r="F12" s="160" t="s">
        <v>2402</v>
      </c>
      <c r="G12" s="279" t="s">
        <v>2403</v>
      </c>
      <c r="H12" s="160" t="s">
        <v>2404</v>
      </c>
      <c r="I12" s="121"/>
      <c r="J12" s="279"/>
    </row>
    <row r="13" spans="1:10" ht="29.25" customHeight="1">
      <c r="A13" s="160" t="s">
        <v>103</v>
      </c>
      <c r="B13" s="160" t="s">
        <v>48</v>
      </c>
      <c r="C13" s="279" t="s">
        <v>344</v>
      </c>
      <c r="D13" s="279" t="s">
        <v>2384</v>
      </c>
      <c r="E13" s="279" t="s">
        <v>2405</v>
      </c>
      <c r="F13" s="160" t="s">
        <v>2406</v>
      </c>
      <c r="G13" s="279" t="s">
        <v>2407</v>
      </c>
      <c r="H13" s="160" t="s">
        <v>2408</v>
      </c>
      <c r="I13" s="121"/>
      <c r="J13" s="279"/>
    </row>
    <row r="14" spans="1:10" ht="29.25" customHeight="1">
      <c r="A14" s="160" t="s">
        <v>108</v>
      </c>
      <c r="B14" s="160" t="s">
        <v>48</v>
      </c>
      <c r="C14" s="279" t="s">
        <v>344</v>
      </c>
      <c r="D14" s="279" t="s">
        <v>2384</v>
      </c>
      <c r="E14" s="279" t="s">
        <v>2409</v>
      </c>
      <c r="F14" s="160" t="s">
        <v>2410</v>
      </c>
      <c r="G14" s="279" t="s">
        <v>2411</v>
      </c>
      <c r="H14" s="160" t="s">
        <v>2412</v>
      </c>
      <c r="I14" s="121"/>
      <c r="J14" s="279"/>
    </row>
    <row r="15" spans="1:10" ht="29.25" customHeight="1">
      <c r="A15" s="160" t="s">
        <v>112</v>
      </c>
      <c r="B15" s="160" t="s">
        <v>48</v>
      </c>
      <c r="C15" s="279" t="s">
        <v>344</v>
      </c>
      <c r="D15" s="279" t="s">
        <v>2384</v>
      </c>
      <c r="E15" s="279" t="s">
        <v>2413</v>
      </c>
      <c r="F15" s="160" t="s">
        <v>2414</v>
      </c>
      <c r="G15" s="279" t="s">
        <v>2415</v>
      </c>
      <c r="H15" s="160" t="s">
        <v>2416</v>
      </c>
      <c r="I15" s="121"/>
      <c r="J15" s="279"/>
    </row>
    <row r="16" spans="1:10" ht="29.25" customHeight="1">
      <c r="A16" s="160" t="s">
        <v>118</v>
      </c>
      <c r="B16" s="160" t="s">
        <v>48</v>
      </c>
      <c r="C16" s="279" t="s">
        <v>344</v>
      </c>
      <c r="D16" s="279" t="s">
        <v>2384</v>
      </c>
      <c r="E16" s="279" t="s">
        <v>2417</v>
      </c>
      <c r="F16" s="160" t="s">
        <v>2418</v>
      </c>
      <c r="G16" s="279" t="s">
        <v>2419</v>
      </c>
      <c r="H16" s="160"/>
      <c r="I16" s="121"/>
      <c r="J16" s="279"/>
    </row>
    <row r="17" spans="1:10" ht="29.25" customHeight="1">
      <c r="A17" s="160" t="s">
        <v>124</v>
      </c>
      <c r="B17" s="160" t="s">
        <v>48</v>
      </c>
      <c r="C17" s="279" t="s">
        <v>344</v>
      </c>
      <c r="D17" s="279" t="s">
        <v>2384</v>
      </c>
      <c r="E17" s="160" t="s">
        <v>2420</v>
      </c>
      <c r="F17" s="160" t="s">
        <v>2421</v>
      </c>
      <c r="G17" s="160" t="s">
        <v>2422</v>
      </c>
      <c r="H17" s="160" t="s">
        <v>2423</v>
      </c>
      <c r="I17" s="121"/>
      <c r="J17" s="160"/>
    </row>
    <row r="18" spans="1:10" ht="29.25" customHeight="1">
      <c r="A18" s="160" t="s">
        <v>129</v>
      </c>
      <c r="B18" s="160" t="s">
        <v>48</v>
      </c>
      <c r="C18" s="279" t="s">
        <v>344</v>
      </c>
      <c r="D18" s="279" t="s">
        <v>2384</v>
      </c>
      <c r="E18" s="160" t="s">
        <v>2424</v>
      </c>
      <c r="F18" s="160" t="s">
        <v>2425</v>
      </c>
      <c r="G18" s="160" t="s">
        <v>2422</v>
      </c>
      <c r="H18" s="160" t="s">
        <v>2426</v>
      </c>
      <c r="I18" s="121"/>
      <c r="J18" s="160"/>
    </row>
    <row r="19" spans="1:10" ht="29.25" customHeight="1">
      <c r="A19" s="160" t="s">
        <v>133</v>
      </c>
      <c r="B19" s="160" t="s">
        <v>48</v>
      </c>
      <c r="C19" s="279" t="s">
        <v>344</v>
      </c>
      <c r="D19" s="279" t="s">
        <v>2384</v>
      </c>
      <c r="E19" s="160" t="s">
        <v>2427</v>
      </c>
      <c r="F19" s="160" t="s">
        <v>2428</v>
      </c>
      <c r="G19" s="160" t="s">
        <v>2429</v>
      </c>
      <c r="H19" s="160" t="s">
        <v>2430</v>
      </c>
      <c r="I19" s="121"/>
      <c r="J19" s="279"/>
    </row>
    <row r="20" spans="1:10" ht="29.25" customHeight="1">
      <c r="A20" s="160" t="s">
        <v>137</v>
      </c>
      <c r="B20" s="160" t="s">
        <v>48</v>
      </c>
      <c r="C20" s="279" t="s">
        <v>344</v>
      </c>
      <c r="D20" s="279" t="s">
        <v>2384</v>
      </c>
      <c r="E20" s="160" t="s">
        <v>2431</v>
      </c>
      <c r="F20" s="160" t="s">
        <v>2432</v>
      </c>
      <c r="G20" s="160" t="s">
        <v>2433</v>
      </c>
      <c r="H20" s="160" t="s">
        <v>2434</v>
      </c>
      <c r="I20" s="121"/>
      <c r="J20" s="279"/>
    </row>
    <row r="21" spans="1:10" ht="29.25" customHeight="1">
      <c r="A21" s="160" t="s">
        <v>142</v>
      </c>
      <c r="B21" s="160" t="s">
        <v>48</v>
      </c>
      <c r="C21" s="279" t="s">
        <v>344</v>
      </c>
      <c r="D21" s="279" t="s">
        <v>2384</v>
      </c>
      <c r="E21" s="160" t="s">
        <v>2435</v>
      </c>
      <c r="F21" s="160" t="s">
        <v>2436</v>
      </c>
      <c r="G21" s="160" t="s">
        <v>2437</v>
      </c>
      <c r="H21" s="160" t="s">
        <v>2438</v>
      </c>
      <c r="I21" s="121"/>
      <c r="J21" s="279"/>
    </row>
    <row r="22" spans="1:10" ht="29.25" customHeight="1">
      <c r="A22" s="160" t="s">
        <v>146</v>
      </c>
      <c r="B22" s="160" t="s">
        <v>48</v>
      </c>
      <c r="C22" s="279" t="s">
        <v>344</v>
      </c>
      <c r="D22" s="279" t="s">
        <v>2384</v>
      </c>
      <c r="E22" s="160" t="s">
        <v>2439</v>
      </c>
      <c r="F22" s="160" t="s">
        <v>2440</v>
      </c>
      <c r="G22" s="160" t="s">
        <v>2441</v>
      </c>
      <c r="H22" s="160" t="s">
        <v>2442</v>
      </c>
      <c r="I22" s="121"/>
      <c r="J22" s="279"/>
    </row>
    <row r="23" spans="1:10" ht="29.25" customHeight="1">
      <c r="A23" s="160" t="s">
        <v>151</v>
      </c>
      <c r="B23" s="160" t="s">
        <v>48</v>
      </c>
      <c r="C23" s="279" t="s">
        <v>344</v>
      </c>
      <c r="D23" s="279" t="s">
        <v>2384</v>
      </c>
      <c r="E23" s="160" t="s">
        <v>2443</v>
      </c>
      <c r="F23" s="160" t="s">
        <v>2444</v>
      </c>
      <c r="G23" s="160" t="s">
        <v>2445</v>
      </c>
      <c r="H23" s="160" t="s">
        <v>2446</v>
      </c>
      <c r="I23" s="121"/>
      <c r="J23" s="279"/>
    </row>
    <row r="24" spans="1:10" ht="29.25" customHeight="1">
      <c r="A24" s="160" t="s">
        <v>154</v>
      </c>
      <c r="B24" s="160" t="s">
        <v>48</v>
      </c>
      <c r="C24" s="279" t="s">
        <v>344</v>
      </c>
      <c r="D24" s="279" t="s">
        <v>2384</v>
      </c>
      <c r="E24" s="160" t="s">
        <v>2447</v>
      </c>
      <c r="F24" s="160" t="s">
        <v>2448</v>
      </c>
      <c r="G24" s="160" t="s">
        <v>2449</v>
      </c>
      <c r="H24" s="160" t="s">
        <v>2450</v>
      </c>
      <c r="I24" s="121"/>
      <c r="J24" s="160"/>
    </row>
    <row r="25" spans="1:10" ht="29.25" customHeight="1">
      <c r="A25" s="160" t="s">
        <v>158</v>
      </c>
      <c r="B25" s="160" t="s">
        <v>48</v>
      </c>
      <c r="C25" s="279" t="s">
        <v>344</v>
      </c>
      <c r="D25" s="160" t="s">
        <v>2384</v>
      </c>
      <c r="E25" s="160" t="s">
        <v>2451</v>
      </c>
      <c r="F25" s="160" t="s">
        <v>2452</v>
      </c>
      <c r="G25" s="160" t="s">
        <v>2453</v>
      </c>
      <c r="H25" s="160" t="s">
        <v>2454</v>
      </c>
      <c r="I25" s="121"/>
      <c r="J25" s="279"/>
    </row>
    <row r="26" spans="1:10" ht="29.25" customHeight="1">
      <c r="A26" s="160" t="s">
        <v>164</v>
      </c>
      <c r="B26" s="160" t="s">
        <v>48</v>
      </c>
      <c r="C26" s="279" t="s">
        <v>344</v>
      </c>
      <c r="D26" s="160" t="s">
        <v>2384</v>
      </c>
      <c r="E26" s="160" t="s">
        <v>2455</v>
      </c>
      <c r="F26" s="160" t="s">
        <v>2456</v>
      </c>
      <c r="G26" s="160" t="s">
        <v>2457</v>
      </c>
      <c r="H26" s="160" t="s">
        <v>2458</v>
      </c>
      <c r="I26" s="121"/>
      <c r="J26" s="29"/>
    </row>
    <row r="27" spans="1:10" ht="29.25" customHeight="1">
      <c r="A27" s="160" t="s">
        <v>170</v>
      </c>
      <c r="B27" s="160" t="s">
        <v>48</v>
      </c>
      <c r="C27" s="279" t="s">
        <v>344</v>
      </c>
      <c r="D27" s="160" t="s">
        <v>2384</v>
      </c>
      <c r="E27" s="160" t="s">
        <v>2459</v>
      </c>
      <c r="F27" s="160" t="s">
        <v>2460</v>
      </c>
      <c r="G27" s="160" t="s">
        <v>2461</v>
      </c>
      <c r="H27" s="160" t="s">
        <v>2462</v>
      </c>
      <c r="I27" s="291"/>
      <c r="J27" s="85"/>
    </row>
    <row r="28" spans="1:10" ht="29.25" customHeight="1">
      <c r="A28" s="160" t="s">
        <v>283</v>
      </c>
      <c r="B28" s="160" t="s">
        <v>48</v>
      </c>
      <c r="C28" s="279" t="s">
        <v>344</v>
      </c>
      <c r="D28" s="160" t="s">
        <v>2384</v>
      </c>
      <c r="E28" s="160" t="s">
        <v>2463</v>
      </c>
      <c r="F28" s="160" t="s">
        <v>2464</v>
      </c>
      <c r="G28" s="160" t="s">
        <v>2465</v>
      </c>
      <c r="H28" s="160"/>
      <c r="I28" s="121"/>
      <c r="J28" s="58"/>
    </row>
    <row r="29" spans="1:10" ht="29.25" customHeight="1">
      <c r="A29" s="160" t="s">
        <v>288</v>
      </c>
      <c r="B29" s="160" t="s">
        <v>48</v>
      </c>
      <c r="C29" s="279" t="s">
        <v>344</v>
      </c>
      <c r="D29" s="279" t="s">
        <v>2466</v>
      </c>
      <c r="E29" s="279" t="s">
        <v>2467</v>
      </c>
      <c r="F29" s="160" t="s">
        <v>2468</v>
      </c>
      <c r="G29" s="279" t="s">
        <v>2469</v>
      </c>
      <c r="H29" s="160" t="s">
        <v>2470</v>
      </c>
      <c r="I29" s="121"/>
      <c r="J29" s="279"/>
    </row>
    <row r="30" spans="1:10" ht="29.25" customHeight="1">
      <c r="A30" s="160" t="s">
        <v>293</v>
      </c>
      <c r="B30" s="160" t="s">
        <v>48</v>
      </c>
      <c r="C30" s="279" t="s">
        <v>344</v>
      </c>
      <c r="D30" s="279" t="s">
        <v>2466</v>
      </c>
      <c r="E30" s="279" t="s">
        <v>2471</v>
      </c>
      <c r="F30" s="160" t="s">
        <v>2472</v>
      </c>
      <c r="G30" s="279" t="s">
        <v>2473</v>
      </c>
      <c r="H30" s="160"/>
      <c r="I30" s="121"/>
      <c r="J30" s="58"/>
    </row>
    <row r="31" spans="1:10" ht="29.25" customHeight="1">
      <c r="A31" s="160" t="s">
        <v>298</v>
      </c>
      <c r="B31" s="160" t="s">
        <v>48</v>
      </c>
      <c r="C31" s="279" t="s">
        <v>344</v>
      </c>
      <c r="D31" s="279" t="s">
        <v>2466</v>
      </c>
      <c r="E31" s="279" t="s">
        <v>2474</v>
      </c>
      <c r="F31" s="160" t="s">
        <v>2475</v>
      </c>
      <c r="G31" s="279" t="s">
        <v>2476</v>
      </c>
      <c r="H31" s="160" t="s">
        <v>2477</v>
      </c>
      <c r="I31" s="121"/>
      <c r="J31" s="279"/>
    </row>
    <row r="32" spans="1:10" ht="29.25" customHeight="1">
      <c r="A32" s="160" t="s">
        <v>303</v>
      </c>
      <c r="B32" s="160" t="s">
        <v>48</v>
      </c>
      <c r="C32" s="279" t="s">
        <v>344</v>
      </c>
      <c r="D32" s="279" t="s">
        <v>2466</v>
      </c>
      <c r="E32" s="279" t="s">
        <v>2478</v>
      </c>
      <c r="F32" s="160" t="s">
        <v>2479</v>
      </c>
      <c r="G32" s="279" t="s">
        <v>2480</v>
      </c>
      <c r="H32" s="160" t="s">
        <v>2481</v>
      </c>
      <c r="I32" s="121"/>
      <c r="J32" s="160"/>
    </row>
    <row r="33" spans="1:10" ht="29.25" customHeight="1">
      <c r="A33" s="160" t="s">
        <v>308</v>
      </c>
      <c r="B33" s="160" t="s">
        <v>48</v>
      </c>
      <c r="C33" s="279" t="s">
        <v>344</v>
      </c>
      <c r="D33" s="279" t="s">
        <v>2466</v>
      </c>
      <c r="E33" s="279" t="s">
        <v>2482</v>
      </c>
      <c r="F33" s="160" t="s">
        <v>2483</v>
      </c>
      <c r="G33" s="279" t="s">
        <v>2484</v>
      </c>
      <c r="H33" s="160"/>
      <c r="I33" s="121"/>
      <c r="J33" s="58"/>
    </row>
    <row r="34" spans="1:10" ht="29.25" customHeight="1">
      <c r="A34" s="160" t="s">
        <v>313</v>
      </c>
      <c r="B34" s="160" t="s">
        <v>48</v>
      </c>
      <c r="C34" s="279" t="s">
        <v>344</v>
      </c>
      <c r="D34" s="279" t="s">
        <v>2466</v>
      </c>
      <c r="E34" s="279" t="s">
        <v>2485</v>
      </c>
      <c r="F34" s="160" t="s">
        <v>2486</v>
      </c>
      <c r="G34" s="279" t="s">
        <v>2487</v>
      </c>
      <c r="H34" s="160"/>
      <c r="I34" s="121"/>
      <c r="J34" s="58"/>
    </row>
    <row r="35" spans="1:10" ht="29.25" customHeight="1">
      <c r="A35" s="160" t="s">
        <v>318</v>
      </c>
      <c r="B35" s="160" t="s">
        <v>48</v>
      </c>
      <c r="C35" s="279" t="s">
        <v>344</v>
      </c>
      <c r="D35" s="279" t="s">
        <v>2466</v>
      </c>
      <c r="E35" s="279" t="s">
        <v>2488</v>
      </c>
      <c r="F35" s="160" t="s">
        <v>2489</v>
      </c>
      <c r="G35" s="279" t="s">
        <v>2490</v>
      </c>
      <c r="H35" s="160"/>
      <c r="I35" s="121"/>
      <c r="J35" s="58"/>
    </row>
    <row r="36" spans="1:10" ht="29.25" customHeight="1">
      <c r="A36" s="160" t="s">
        <v>323</v>
      </c>
      <c r="B36" s="160" t="s">
        <v>48</v>
      </c>
      <c r="C36" s="279" t="s">
        <v>344</v>
      </c>
      <c r="D36" s="279" t="s">
        <v>2466</v>
      </c>
      <c r="E36" s="279" t="s">
        <v>2491</v>
      </c>
      <c r="F36" s="160" t="s">
        <v>2492</v>
      </c>
      <c r="G36" s="279" t="s">
        <v>2493</v>
      </c>
      <c r="H36" s="160" t="s">
        <v>2494</v>
      </c>
      <c r="I36" s="121"/>
      <c r="J36" s="160"/>
    </row>
    <row r="37" spans="1:10" ht="29.25" customHeight="1">
      <c r="A37" s="160" t="s">
        <v>327</v>
      </c>
      <c r="B37" s="160" t="s">
        <v>48</v>
      </c>
      <c r="C37" s="279" t="s">
        <v>344</v>
      </c>
      <c r="D37" s="279" t="s">
        <v>2466</v>
      </c>
      <c r="E37" s="279" t="s">
        <v>2495</v>
      </c>
      <c r="F37" s="160" t="s">
        <v>2496</v>
      </c>
      <c r="G37" s="279" t="s">
        <v>2497</v>
      </c>
      <c r="H37" s="160" t="s">
        <v>2498</v>
      </c>
      <c r="I37" s="121"/>
      <c r="J37" s="160"/>
    </row>
    <row r="38" spans="1:10" ht="29.25" customHeight="1">
      <c r="A38" s="160" t="s">
        <v>333</v>
      </c>
      <c r="B38" s="160" t="s">
        <v>48</v>
      </c>
      <c r="C38" s="279" t="s">
        <v>344</v>
      </c>
      <c r="D38" s="160" t="s">
        <v>2499</v>
      </c>
      <c r="E38" s="279" t="s">
        <v>2500</v>
      </c>
      <c r="F38" s="160" t="s">
        <v>2501</v>
      </c>
      <c r="G38" s="279" t="s">
        <v>2502</v>
      </c>
      <c r="H38" s="160" t="s">
        <v>2503</v>
      </c>
      <c r="I38" s="121"/>
      <c r="J38" s="279"/>
    </row>
    <row r="39" spans="1:10" ht="29.25" customHeight="1">
      <c r="A39" s="160" t="s">
        <v>338</v>
      </c>
      <c r="B39" s="160" t="s">
        <v>48</v>
      </c>
      <c r="C39" s="279" t="s">
        <v>344</v>
      </c>
      <c r="D39" s="160" t="s">
        <v>2499</v>
      </c>
      <c r="E39" s="279" t="s">
        <v>2504</v>
      </c>
      <c r="F39" s="160" t="s">
        <v>2505</v>
      </c>
      <c r="G39" s="279" t="s">
        <v>2506</v>
      </c>
      <c r="H39" s="160" t="s">
        <v>2507</v>
      </c>
      <c r="I39" s="121"/>
      <c r="J39" s="279"/>
    </row>
    <row r="40" spans="1:10" ht="29.25" customHeight="1">
      <c r="A40" s="160" t="s">
        <v>343</v>
      </c>
      <c r="B40" s="160" t="s">
        <v>48</v>
      </c>
      <c r="C40" s="279" t="s">
        <v>344</v>
      </c>
      <c r="D40" s="160" t="s">
        <v>2508</v>
      </c>
      <c r="E40" s="279" t="s">
        <v>2509</v>
      </c>
      <c r="F40" s="160" t="s">
        <v>2510</v>
      </c>
      <c r="G40" s="279" t="s">
        <v>2511</v>
      </c>
      <c r="H40" s="160" t="s">
        <v>2512</v>
      </c>
      <c r="I40" s="121"/>
      <c r="J40" s="279"/>
    </row>
    <row r="41" spans="1:10" ht="29.25" customHeight="1">
      <c r="A41" s="160" t="s">
        <v>349</v>
      </c>
      <c r="B41" s="160" t="s">
        <v>48</v>
      </c>
      <c r="C41" s="279" t="s">
        <v>344</v>
      </c>
      <c r="D41" s="160" t="s">
        <v>2508</v>
      </c>
      <c r="E41" s="279" t="s">
        <v>2513</v>
      </c>
      <c r="F41" s="160" t="s">
        <v>2514</v>
      </c>
      <c r="G41" s="279" t="s">
        <v>2014</v>
      </c>
      <c r="H41" s="160" t="s">
        <v>2515</v>
      </c>
      <c r="I41" s="121"/>
      <c r="J41" s="279"/>
    </row>
    <row r="42" spans="1:10" ht="29.25" customHeight="1">
      <c r="A42" s="160" t="s">
        <v>354</v>
      </c>
      <c r="B42" s="160" t="s">
        <v>48</v>
      </c>
      <c r="C42" s="279" t="s">
        <v>344</v>
      </c>
      <c r="D42" s="160" t="s">
        <v>2508</v>
      </c>
      <c r="E42" s="279" t="s">
        <v>2516</v>
      </c>
      <c r="F42" s="160" t="s">
        <v>2517</v>
      </c>
      <c r="G42" s="279" t="s">
        <v>2018</v>
      </c>
      <c r="H42" s="160" t="s">
        <v>2518</v>
      </c>
      <c r="I42" s="121"/>
      <c r="J42" s="160"/>
    </row>
    <row r="43" spans="1:10" ht="29.25" customHeight="1">
      <c r="A43" s="160" t="s">
        <v>359</v>
      </c>
      <c r="B43" s="160" t="s">
        <v>48</v>
      </c>
      <c r="C43" s="279" t="s">
        <v>344</v>
      </c>
      <c r="D43" s="160" t="s">
        <v>2508</v>
      </c>
      <c r="E43" s="279" t="s">
        <v>2519</v>
      </c>
      <c r="F43" s="160" t="s">
        <v>2520</v>
      </c>
      <c r="G43" s="279" t="s">
        <v>2521</v>
      </c>
      <c r="H43" s="160" t="s">
        <v>2522</v>
      </c>
      <c r="I43" s="121"/>
      <c r="J43" s="279"/>
    </row>
    <row r="44" spans="1:10" ht="29.25" customHeight="1">
      <c r="A44" s="160" t="s">
        <v>363</v>
      </c>
      <c r="B44" s="160" t="s">
        <v>48</v>
      </c>
      <c r="C44" s="279" t="s">
        <v>344</v>
      </c>
      <c r="D44" s="160" t="s">
        <v>2508</v>
      </c>
      <c r="E44" s="279" t="s">
        <v>2523</v>
      </c>
      <c r="F44" s="160" t="s">
        <v>2524</v>
      </c>
      <c r="G44" s="279" t="s">
        <v>2030</v>
      </c>
      <c r="H44" s="160" t="s">
        <v>2525</v>
      </c>
      <c r="I44" s="121"/>
      <c r="J44" s="279"/>
    </row>
    <row r="45" spans="1:10" ht="29.25" customHeight="1">
      <c r="A45" s="160" t="s">
        <v>368</v>
      </c>
      <c r="B45" s="160" t="s">
        <v>48</v>
      </c>
      <c r="C45" s="279" t="s">
        <v>344</v>
      </c>
      <c r="D45" s="160" t="s">
        <v>2508</v>
      </c>
      <c r="E45" s="279" t="s">
        <v>2526</v>
      </c>
      <c r="F45" s="160" t="s">
        <v>2527</v>
      </c>
      <c r="G45" s="279" t="s">
        <v>2030</v>
      </c>
      <c r="H45" s="160" t="s">
        <v>2528</v>
      </c>
      <c r="I45" s="121"/>
      <c r="J45" s="279"/>
    </row>
    <row r="46" spans="1:10" ht="29.25" customHeight="1">
      <c r="A46" s="160" t="s">
        <v>372</v>
      </c>
      <c r="B46" s="160" t="s">
        <v>48</v>
      </c>
      <c r="C46" s="279" t="s">
        <v>344</v>
      </c>
      <c r="D46" s="160" t="s">
        <v>2508</v>
      </c>
      <c r="E46" s="279" t="s">
        <v>2529</v>
      </c>
      <c r="F46" s="160" t="s">
        <v>2530</v>
      </c>
      <c r="G46" s="279" t="s">
        <v>2531</v>
      </c>
      <c r="H46" s="160" t="s">
        <v>2532</v>
      </c>
      <c r="I46" s="121"/>
      <c r="J46" s="279"/>
    </row>
    <row r="47" spans="1:10" ht="29.25" customHeight="1">
      <c r="A47" s="160" t="s">
        <v>377</v>
      </c>
      <c r="B47" s="160" t="s">
        <v>48</v>
      </c>
      <c r="C47" s="279" t="s">
        <v>344</v>
      </c>
      <c r="D47" s="160" t="s">
        <v>2508</v>
      </c>
      <c r="E47" s="279" t="s">
        <v>2533</v>
      </c>
      <c r="F47" s="160" t="s">
        <v>2534</v>
      </c>
      <c r="G47" s="279" t="s">
        <v>2535</v>
      </c>
      <c r="H47" s="160" t="s">
        <v>2536</v>
      </c>
      <c r="I47" s="121"/>
      <c r="J47" s="279"/>
    </row>
    <row r="48" spans="1:10" ht="29.25" customHeight="1">
      <c r="A48" s="160" t="s">
        <v>382</v>
      </c>
      <c r="B48" s="160" t="s">
        <v>48</v>
      </c>
      <c r="C48" s="279" t="s">
        <v>344</v>
      </c>
      <c r="D48" s="160" t="s">
        <v>2508</v>
      </c>
      <c r="E48" s="279" t="s">
        <v>2537</v>
      </c>
      <c r="F48" s="160" t="s">
        <v>2538</v>
      </c>
      <c r="G48" s="279" t="s">
        <v>2045</v>
      </c>
      <c r="H48" s="160" t="s">
        <v>2539</v>
      </c>
      <c r="I48" s="121"/>
      <c r="J48" s="279"/>
    </row>
    <row r="49" spans="1:10" ht="29.25" customHeight="1">
      <c r="A49" s="160" t="s">
        <v>386</v>
      </c>
      <c r="B49" s="160" t="s">
        <v>48</v>
      </c>
      <c r="C49" s="279" t="s">
        <v>344</v>
      </c>
      <c r="D49" s="160" t="s">
        <v>2508</v>
      </c>
      <c r="E49" s="279" t="s">
        <v>2540</v>
      </c>
      <c r="F49" s="160" t="s">
        <v>2541</v>
      </c>
      <c r="G49" s="279" t="s">
        <v>2045</v>
      </c>
      <c r="H49" s="160" t="s">
        <v>2542</v>
      </c>
      <c r="I49" s="121"/>
      <c r="J49" s="279"/>
    </row>
    <row r="50" spans="1:10" ht="29.25" customHeight="1">
      <c r="A50" s="160" t="s">
        <v>390</v>
      </c>
      <c r="B50" s="160" t="s">
        <v>48</v>
      </c>
      <c r="C50" s="279" t="s">
        <v>344</v>
      </c>
      <c r="D50" s="160" t="s">
        <v>2508</v>
      </c>
      <c r="E50" s="279" t="s">
        <v>2543</v>
      </c>
      <c r="F50" s="160" t="s">
        <v>2544</v>
      </c>
      <c r="G50" s="279" t="s">
        <v>2052</v>
      </c>
      <c r="H50" s="160" t="s">
        <v>2545</v>
      </c>
      <c r="I50" s="121"/>
      <c r="J50" s="279"/>
    </row>
    <row r="51" spans="1:10" ht="29.25" customHeight="1">
      <c r="A51" s="160" t="s">
        <v>394</v>
      </c>
      <c r="B51" s="160" t="s">
        <v>48</v>
      </c>
      <c r="C51" s="279" t="s">
        <v>344</v>
      </c>
      <c r="D51" s="160" t="s">
        <v>2508</v>
      </c>
      <c r="E51" s="279" t="s">
        <v>2546</v>
      </c>
      <c r="F51" s="160" t="s">
        <v>2547</v>
      </c>
      <c r="G51" s="279" t="s">
        <v>2056</v>
      </c>
      <c r="H51" s="160" t="s">
        <v>2548</v>
      </c>
      <c r="I51" s="121"/>
      <c r="J51" s="279"/>
    </row>
    <row r="52" spans="1:10" ht="29.25" customHeight="1">
      <c r="A52" s="160" t="s">
        <v>398</v>
      </c>
      <c r="B52" s="160" t="s">
        <v>48</v>
      </c>
      <c r="C52" s="279" t="s">
        <v>344</v>
      </c>
      <c r="D52" s="160" t="s">
        <v>2508</v>
      </c>
      <c r="E52" s="279" t="s">
        <v>2549</v>
      </c>
      <c r="F52" s="160" t="s">
        <v>2550</v>
      </c>
      <c r="G52" s="279" t="s">
        <v>2551</v>
      </c>
      <c r="H52" s="160" t="s">
        <v>2552</v>
      </c>
      <c r="I52" s="121"/>
      <c r="J52" s="160"/>
    </row>
    <row r="53" spans="1:10" ht="29.25" customHeight="1">
      <c r="A53" s="160" t="s">
        <v>401</v>
      </c>
      <c r="B53" s="160" t="s">
        <v>48</v>
      </c>
      <c r="C53" s="279" t="s">
        <v>344</v>
      </c>
      <c r="D53" s="160" t="s">
        <v>2508</v>
      </c>
      <c r="E53" s="279" t="s">
        <v>2553</v>
      </c>
      <c r="F53" s="160" t="s">
        <v>2554</v>
      </c>
      <c r="G53" s="279" t="s">
        <v>2555</v>
      </c>
      <c r="H53" s="160" t="s">
        <v>2556</v>
      </c>
      <c r="I53" s="121"/>
      <c r="J53" s="279"/>
    </row>
    <row r="54" spans="1:10" ht="29.25" customHeight="1">
      <c r="A54" s="160" t="s">
        <v>404</v>
      </c>
      <c r="B54" s="160" t="s">
        <v>48</v>
      </c>
      <c r="C54" s="279" t="s">
        <v>344</v>
      </c>
      <c r="D54" s="160" t="s">
        <v>2499</v>
      </c>
      <c r="E54" s="279" t="s">
        <v>2557</v>
      </c>
      <c r="F54" s="160" t="s">
        <v>2558</v>
      </c>
      <c r="G54" s="279" t="s">
        <v>2559</v>
      </c>
      <c r="H54" s="160" t="s">
        <v>2560</v>
      </c>
      <c r="I54" s="121"/>
      <c r="J54" s="279"/>
    </row>
    <row r="55" spans="1:10" ht="29.25" customHeight="1">
      <c r="A55" s="160" t="s">
        <v>407</v>
      </c>
      <c r="B55" s="160" t="s">
        <v>48</v>
      </c>
      <c r="C55" s="279" t="s">
        <v>344</v>
      </c>
      <c r="D55" s="160" t="s">
        <v>2499</v>
      </c>
      <c r="E55" s="160" t="s">
        <v>2561</v>
      </c>
      <c r="F55" s="160" t="s">
        <v>2562</v>
      </c>
      <c r="G55" s="279" t="s">
        <v>2563</v>
      </c>
      <c r="H55" s="160" t="s">
        <v>2564</v>
      </c>
      <c r="I55" s="121"/>
      <c r="J55" s="279"/>
    </row>
    <row r="56" spans="1:10" ht="29.25" customHeight="1">
      <c r="A56" s="160" t="s">
        <v>411</v>
      </c>
      <c r="B56" s="160" t="s">
        <v>48</v>
      </c>
      <c r="C56" s="279" t="s">
        <v>344</v>
      </c>
      <c r="D56" s="160" t="s">
        <v>2499</v>
      </c>
      <c r="E56" s="160" t="s">
        <v>652</v>
      </c>
      <c r="F56" s="160" t="s">
        <v>2565</v>
      </c>
      <c r="G56" s="279" t="s">
        <v>2566</v>
      </c>
      <c r="H56" s="160" t="s">
        <v>2567</v>
      </c>
      <c r="I56" s="121"/>
      <c r="J56" s="160"/>
    </row>
    <row r="57" spans="1:10" ht="29.25" customHeight="1">
      <c r="A57" s="160" t="s">
        <v>414</v>
      </c>
      <c r="B57" s="160" t="s">
        <v>48</v>
      </c>
      <c r="C57" s="279" t="s">
        <v>344</v>
      </c>
      <c r="D57" s="160" t="s">
        <v>2499</v>
      </c>
      <c r="E57" s="279" t="s">
        <v>656</v>
      </c>
      <c r="F57" s="160" t="s">
        <v>2568</v>
      </c>
      <c r="G57" s="279" t="s">
        <v>2091</v>
      </c>
      <c r="H57" s="160" t="s">
        <v>2569</v>
      </c>
      <c r="I57" s="121"/>
      <c r="J57" s="279"/>
    </row>
    <row r="58" spans="1:10" ht="29.25" customHeight="1">
      <c r="A58" s="160" t="s">
        <v>419</v>
      </c>
      <c r="B58" s="160" t="s">
        <v>48</v>
      </c>
      <c r="C58" s="279" t="s">
        <v>344</v>
      </c>
      <c r="D58" s="160" t="s">
        <v>2499</v>
      </c>
      <c r="E58" s="279" t="s">
        <v>660</v>
      </c>
      <c r="F58" s="160" t="s">
        <v>2570</v>
      </c>
      <c r="G58" s="279" t="s">
        <v>2571</v>
      </c>
      <c r="H58" s="160" t="s">
        <v>2572</v>
      </c>
      <c r="I58" s="121"/>
      <c r="J58" s="279"/>
    </row>
    <row r="59" spans="1:10" ht="29.25" customHeight="1">
      <c r="A59" s="160" t="s">
        <v>424</v>
      </c>
      <c r="B59" s="160" t="s">
        <v>48</v>
      </c>
      <c r="C59" s="279" t="s">
        <v>344</v>
      </c>
      <c r="D59" s="160" t="s">
        <v>2499</v>
      </c>
      <c r="E59" s="279" t="s">
        <v>2096</v>
      </c>
      <c r="F59" s="160" t="s">
        <v>2573</v>
      </c>
      <c r="G59" s="279" t="s">
        <v>2574</v>
      </c>
      <c r="H59" s="160" t="s">
        <v>2575</v>
      </c>
      <c r="I59" s="121"/>
      <c r="J59" s="279"/>
    </row>
    <row r="60" spans="1:10" ht="29.25" customHeight="1">
      <c r="A60" s="160" t="s">
        <v>429</v>
      </c>
      <c r="B60" s="160" t="s">
        <v>48</v>
      </c>
      <c r="C60" s="279" t="s">
        <v>344</v>
      </c>
      <c r="D60" s="160" t="s">
        <v>2499</v>
      </c>
      <c r="E60" s="279" t="s">
        <v>2576</v>
      </c>
      <c r="F60" s="160" t="s">
        <v>2577</v>
      </c>
      <c r="G60" s="279" t="s">
        <v>2102</v>
      </c>
      <c r="H60" s="160" t="s">
        <v>2578</v>
      </c>
      <c r="I60" s="121"/>
      <c r="J60" s="279"/>
    </row>
    <row r="61" spans="1:10" ht="29.25" customHeight="1">
      <c r="A61" s="160" t="s">
        <v>434</v>
      </c>
      <c r="B61" s="160" t="s">
        <v>48</v>
      </c>
      <c r="C61" s="279" t="s">
        <v>344</v>
      </c>
      <c r="D61" s="160" t="s">
        <v>2499</v>
      </c>
      <c r="E61" s="279" t="s">
        <v>2579</v>
      </c>
      <c r="F61" s="160" t="s">
        <v>2580</v>
      </c>
      <c r="G61" s="279" t="s">
        <v>2581</v>
      </c>
      <c r="H61" s="160" t="s">
        <v>2582</v>
      </c>
      <c r="I61" s="121"/>
      <c r="J61" s="279"/>
    </row>
    <row r="62" spans="1:10" ht="29.25" customHeight="1">
      <c r="A62" s="160" t="s">
        <v>439</v>
      </c>
      <c r="B62" s="160" t="s">
        <v>48</v>
      </c>
      <c r="C62" s="279" t="s">
        <v>344</v>
      </c>
      <c r="D62" s="160" t="s">
        <v>2499</v>
      </c>
      <c r="E62" s="279" t="s">
        <v>2583</v>
      </c>
      <c r="F62" s="160" t="s">
        <v>2584</v>
      </c>
      <c r="G62" s="279" t="s">
        <v>2110</v>
      </c>
      <c r="H62" s="160" t="s">
        <v>2585</v>
      </c>
      <c r="I62" s="121"/>
      <c r="J62" s="160"/>
    </row>
    <row r="63" spans="1:10" ht="29.25" customHeight="1">
      <c r="A63" s="160" t="s">
        <v>443</v>
      </c>
      <c r="B63" s="160" t="s">
        <v>48</v>
      </c>
      <c r="C63" s="279" t="s">
        <v>344</v>
      </c>
      <c r="D63" s="160" t="s">
        <v>2499</v>
      </c>
      <c r="E63" s="279" t="s">
        <v>2586</v>
      </c>
      <c r="F63" s="160" t="s">
        <v>2587</v>
      </c>
      <c r="G63" s="279" t="s">
        <v>2511</v>
      </c>
      <c r="H63" s="160" t="s">
        <v>2588</v>
      </c>
      <c r="I63" s="121"/>
      <c r="J63" s="279"/>
    </row>
    <row r="64" spans="1:10" ht="29.25" customHeight="1">
      <c r="A64" s="160" t="s">
        <v>447</v>
      </c>
      <c r="B64" s="160" t="s">
        <v>48</v>
      </c>
      <c r="C64" s="279" t="s">
        <v>344</v>
      </c>
      <c r="D64" s="160" t="s">
        <v>2499</v>
      </c>
      <c r="E64" s="279" t="s">
        <v>2589</v>
      </c>
      <c r="F64" s="160" t="s">
        <v>2590</v>
      </c>
      <c r="G64" s="279" t="s">
        <v>2591</v>
      </c>
      <c r="H64" s="160" t="s">
        <v>2592</v>
      </c>
      <c r="I64" s="121"/>
      <c r="J64" s="279"/>
    </row>
    <row r="65" spans="1:10" ht="29.25" customHeight="1">
      <c r="A65" s="160" t="s">
        <v>451</v>
      </c>
      <c r="B65" s="160" t="s">
        <v>48</v>
      </c>
      <c r="C65" s="279" t="s">
        <v>344</v>
      </c>
      <c r="D65" s="160" t="s">
        <v>2499</v>
      </c>
      <c r="E65" s="279" t="s">
        <v>2593</v>
      </c>
      <c r="F65" s="160" t="s">
        <v>2594</v>
      </c>
      <c r="G65" s="279" t="s">
        <v>2595</v>
      </c>
      <c r="H65" s="160" t="s">
        <v>2596</v>
      </c>
      <c r="I65" s="121"/>
      <c r="J65" s="279"/>
    </row>
    <row r="66" spans="1:10" ht="29.25" customHeight="1">
      <c r="A66" s="160" t="s">
        <v>455</v>
      </c>
      <c r="B66" s="160" t="s">
        <v>48</v>
      </c>
      <c r="C66" s="160" t="s">
        <v>344</v>
      </c>
      <c r="D66" s="160" t="s">
        <v>2499</v>
      </c>
      <c r="E66" s="160" t="s">
        <v>2597</v>
      </c>
      <c r="F66" s="160" t="s">
        <v>2598</v>
      </c>
      <c r="G66" s="160" t="s">
        <v>2599</v>
      </c>
      <c r="H66" s="160" t="s">
        <v>2600</v>
      </c>
      <c r="I66" s="121"/>
      <c r="J66" s="160"/>
    </row>
    <row r="67" spans="1:10" ht="29.25" customHeight="1">
      <c r="A67" s="160" t="s">
        <v>459</v>
      </c>
      <c r="B67" s="160" t="s">
        <v>48</v>
      </c>
      <c r="C67" s="160" t="s">
        <v>344</v>
      </c>
      <c r="D67" s="160" t="s">
        <v>2499</v>
      </c>
      <c r="E67" s="160" t="s">
        <v>2601</v>
      </c>
      <c r="F67" s="160" t="s">
        <v>2602</v>
      </c>
      <c r="G67" s="160" t="s">
        <v>2603</v>
      </c>
      <c r="H67" s="160" t="s">
        <v>2604</v>
      </c>
      <c r="I67" s="121"/>
      <c r="J67" s="160"/>
    </row>
    <row r="68" spans="1:10" ht="29.25" customHeight="1">
      <c r="A68" s="160" t="s">
        <v>465</v>
      </c>
      <c r="B68" s="160" t="s">
        <v>48</v>
      </c>
      <c r="C68" s="160" t="s">
        <v>344</v>
      </c>
      <c r="D68" s="160" t="s">
        <v>2499</v>
      </c>
      <c r="E68" s="160" t="s">
        <v>2605</v>
      </c>
      <c r="F68" s="160" t="s">
        <v>2606</v>
      </c>
      <c r="G68" s="160" t="s">
        <v>2599</v>
      </c>
      <c r="H68" s="160" t="s">
        <v>2607</v>
      </c>
      <c r="I68" s="121"/>
      <c r="J68" s="160"/>
    </row>
    <row r="69" spans="1:10" ht="29.25" customHeight="1">
      <c r="A69" s="160" t="s">
        <v>774</v>
      </c>
      <c r="B69" s="160" t="s">
        <v>48</v>
      </c>
      <c r="C69" s="160" t="s">
        <v>344</v>
      </c>
      <c r="D69" s="160" t="s">
        <v>2499</v>
      </c>
      <c r="E69" s="160" t="s">
        <v>2608</v>
      </c>
      <c r="F69" s="160" t="s">
        <v>2609</v>
      </c>
      <c r="G69" s="160" t="s">
        <v>2610</v>
      </c>
      <c r="H69" s="160" t="s">
        <v>2611</v>
      </c>
      <c r="I69" s="121"/>
      <c r="J69" s="160"/>
    </row>
    <row r="70" spans="1:10" ht="29.25" customHeight="1">
      <c r="A70" s="160" t="s">
        <v>471</v>
      </c>
      <c r="B70" s="160" t="s">
        <v>48</v>
      </c>
      <c r="C70" s="160" t="s">
        <v>344</v>
      </c>
      <c r="D70" s="160" t="s">
        <v>2499</v>
      </c>
      <c r="E70" s="160" t="s">
        <v>2612</v>
      </c>
      <c r="F70" s="160" t="s">
        <v>2613</v>
      </c>
      <c r="G70" s="160" t="s">
        <v>2599</v>
      </c>
      <c r="H70" s="160" t="s">
        <v>2614</v>
      </c>
      <c r="I70" s="121"/>
      <c r="J70" s="160"/>
    </row>
    <row r="71" spans="1:10" ht="29.25" customHeight="1">
      <c r="A71" s="160" t="s">
        <v>475</v>
      </c>
      <c r="B71" s="160" t="s">
        <v>48</v>
      </c>
      <c r="C71" s="160" t="s">
        <v>344</v>
      </c>
      <c r="D71" s="160" t="s">
        <v>2499</v>
      </c>
      <c r="E71" s="160" t="s">
        <v>2615</v>
      </c>
      <c r="F71" s="160" t="s">
        <v>2616</v>
      </c>
      <c r="G71" s="160" t="s">
        <v>2617</v>
      </c>
      <c r="H71" s="160" t="s">
        <v>2618</v>
      </c>
      <c r="I71" s="121"/>
      <c r="J71" s="160"/>
    </row>
    <row r="72" spans="1:10" ht="29.25" customHeight="1">
      <c r="A72" s="160" t="s">
        <v>479</v>
      </c>
      <c r="B72" s="160" t="s">
        <v>48</v>
      </c>
      <c r="C72" s="160" t="s">
        <v>344</v>
      </c>
      <c r="D72" s="160" t="s">
        <v>2499</v>
      </c>
      <c r="E72" s="160" t="s">
        <v>2619</v>
      </c>
      <c r="F72" s="160" t="s">
        <v>2620</v>
      </c>
      <c r="G72" s="160" t="s">
        <v>2621</v>
      </c>
      <c r="H72" s="160" t="s">
        <v>2622</v>
      </c>
      <c r="I72" s="121"/>
      <c r="J72" s="160"/>
    </row>
    <row r="73" spans="1:10" ht="29.25" customHeight="1">
      <c r="A73" s="160" t="s">
        <v>483</v>
      </c>
      <c r="B73" s="160" t="s">
        <v>48</v>
      </c>
      <c r="C73" s="160" t="s">
        <v>344</v>
      </c>
      <c r="D73" s="160" t="s">
        <v>2499</v>
      </c>
      <c r="E73" s="160" t="s">
        <v>2623</v>
      </c>
      <c r="F73" s="160" t="s">
        <v>2624</v>
      </c>
      <c r="G73" s="160" t="s">
        <v>2625</v>
      </c>
      <c r="H73" s="160" t="s">
        <v>2626</v>
      </c>
      <c r="I73" s="121"/>
      <c r="J73" s="160"/>
    </row>
    <row r="74" spans="1:10" ht="29.25" customHeight="1">
      <c r="A74" s="160" t="s">
        <v>796</v>
      </c>
      <c r="B74" s="160" t="s">
        <v>48</v>
      </c>
      <c r="C74" s="160" t="s">
        <v>344</v>
      </c>
      <c r="D74" s="160" t="s">
        <v>2499</v>
      </c>
      <c r="E74" s="160" t="s">
        <v>660</v>
      </c>
      <c r="F74" s="160" t="s">
        <v>2627</v>
      </c>
      <c r="G74" s="160" t="s">
        <v>2628</v>
      </c>
      <c r="H74" s="160" t="s">
        <v>2629</v>
      </c>
      <c r="I74" s="121"/>
      <c r="J74" s="160"/>
    </row>
    <row r="75" spans="1:10" ht="29.25" customHeight="1">
      <c r="A75" s="160" t="s">
        <v>801</v>
      </c>
      <c r="B75" s="160" t="s">
        <v>48</v>
      </c>
      <c r="C75" s="160" t="s">
        <v>344</v>
      </c>
      <c r="D75" s="160" t="s">
        <v>2499</v>
      </c>
      <c r="E75" s="160" t="s">
        <v>2630</v>
      </c>
      <c r="F75" s="160" t="s">
        <v>2631</v>
      </c>
      <c r="G75" s="160" t="s">
        <v>2628</v>
      </c>
      <c r="H75" s="160" t="s">
        <v>2632</v>
      </c>
      <c r="I75" s="121"/>
      <c r="J75" s="160"/>
    </row>
    <row r="76" spans="1:10" ht="29.25" customHeight="1">
      <c r="A76" s="160" t="s">
        <v>806</v>
      </c>
      <c r="B76" s="160" t="s">
        <v>48</v>
      </c>
      <c r="C76" s="160" t="s">
        <v>344</v>
      </c>
      <c r="D76" s="160" t="s">
        <v>2499</v>
      </c>
      <c r="E76" s="160" t="s">
        <v>2546</v>
      </c>
      <c r="F76" s="160" t="s">
        <v>2633</v>
      </c>
      <c r="G76" s="160" t="s">
        <v>2056</v>
      </c>
      <c r="H76" s="160" t="s">
        <v>2634</v>
      </c>
      <c r="I76" s="121"/>
      <c r="J76" s="160"/>
    </row>
    <row r="77" spans="1:10" ht="29.25" customHeight="1">
      <c r="A77" s="160" t="s">
        <v>811</v>
      </c>
      <c r="B77" s="160" t="s">
        <v>48</v>
      </c>
      <c r="C77" s="160" t="s">
        <v>344</v>
      </c>
      <c r="D77" s="160" t="s">
        <v>2499</v>
      </c>
      <c r="E77" s="160" t="s">
        <v>2635</v>
      </c>
      <c r="F77" s="160" t="s">
        <v>2636</v>
      </c>
      <c r="G77" s="160" t="s">
        <v>2551</v>
      </c>
      <c r="H77" s="160" t="s">
        <v>2637</v>
      </c>
      <c r="I77" s="121"/>
      <c r="J77" s="160"/>
    </row>
    <row r="78" spans="1:10" ht="29.25" customHeight="1">
      <c r="A78" s="160" t="s">
        <v>816</v>
      </c>
      <c r="B78" s="160" t="s">
        <v>48</v>
      </c>
      <c r="C78" s="160" t="s">
        <v>344</v>
      </c>
      <c r="D78" s="160" t="s">
        <v>2499</v>
      </c>
      <c r="E78" s="160" t="s">
        <v>2638</v>
      </c>
      <c r="F78" s="160" t="s">
        <v>2639</v>
      </c>
      <c r="G78" s="160" t="s">
        <v>2555</v>
      </c>
      <c r="H78" s="160" t="s">
        <v>2640</v>
      </c>
      <c r="I78" s="121"/>
      <c r="J78" s="160"/>
    </row>
    <row r="79" spans="1:10" ht="29.25" customHeight="1">
      <c r="A79" s="160" t="s">
        <v>821</v>
      </c>
      <c r="B79" s="160" t="s">
        <v>48</v>
      </c>
      <c r="C79" s="160" t="s">
        <v>344</v>
      </c>
      <c r="D79" s="160" t="s">
        <v>2499</v>
      </c>
      <c r="E79" s="160" t="s">
        <v>2641</v>
      </c>
      <c r="F79" s="160" t="s">
        <v>2642</v>
      </c>
      <c r="G79" s="160" t="s">
        <v>2643</v>
      </c>
      <c r="H79" s="160" t="s">
        <v>2644</v>
      </c>
      <c r="I79" s="121"/>
      <c r="J79" s="160"/>
    </row>
    <row r="80" spans="1:10" ht="29.25" customHeight="1">
      <c r="A80" s="160" t="s">
        <v>826</v>
      </c>
      <c r="B80" s="160" t="s">
        <v>48</v>
      </c>
      <c r="C80" s="160" t="s">
        <v>344</v>
      </c>
      <c r="D80" s="160" t="s">
        <v>2499</v>
      </c>
      <c r="E80" s="160" t="s">
        <v>2645</v>
      </c>
      <c r="F80" s="160" t="s">
        <v>2646</v>
      </c>
      <c r="G80" s="160" t="s">
        <v>2647</v>
      </c>
      <c r="H80" s="160" t="s">
        <v>2648</v>
      </c>
      <c r="I80" s="121"/>
      <c r="J80" s="160"/>
    </row>
    <row r="81" spans="1:10" ht="29.25" customHeight="1">
      <c r="A81" s="160" t="s">
        <v>1205</v>
      </c>
      <c r="B81" s="160" t="s">
        <v>48</v>
      </c>
      <c r="C81" s="160" t="s">
        <v>344</v>
      </c>
      <c r="D81" s="160" t="s">
        <v>2499</v>
      </c>
      <c r="E81" s="160" t="s">
        <v>2649</v>
      </c>
      <c r="F81" s="160" t="s">
        <v>2650</v>
      </c>
      <c r="G81" s="160" t="s">
        <v>2651</v>
      </c>
      <c r="H81" s="160" t="s">
        <v>2652</v>
      </c>
      <c r="I81" s="121"/>
      <c r="J81" s="160"/>
    </row>
    <row r="82" spans="1:10" ht="29.25" customHeight="1">
      <c r="A82" s="160" t="s">
        <v>1211</v>
      </c>
      <c r="B82" s="160" t="s">
        <v>48</v>
      </c>
      <c r="C82" s="160" t="s">
        <v>344</v>
      </c>
      <c r="D82" s="160" t="s">
        <v>2499</v>
      </c>
      <c r="E82" s="160" t="s">
        <v>2653</v>
      </c>
      <c r="F82" s="160" t="s">
        <v>2654</v>
      </c>
      <c r="G82" s="160" t="s">
        <v>2655</v>
      </c>
      <c r="H82" s="160" t="s">
        <v>2656</v>
      </c>
      <c r="I82" s="121"/>
      <c r="J82" s="160"/>
    </row>
    <row r="83" spans="1:10" ht="29.25" customHeight="1">
      <c r="A83" s="160" t="s">
        <v>1217</v>
      </c>
      <c r="B83" s="160" t="s">
        <v>48</v>
      </c>
      <c r="C83" s="160" t="s">
        <v>344</v>
      </c>
      <c r="D83" s="160" t="s">
        <v>2499</v>
      </c>
      <c r="E83" s="160" t="s">
        <v>2657</v>
      </c>
      <c r="F83" s="160" t="s">
        <v>2658</v>
      </c>
      <c r="G83" s="160" t="s">
        <v>2659</v>
      </c>
      <c r="H83" s="160" t="s">
        <v>2660</v>
      </c>
      <c r="I83" s="292"/>
      <c r="J83" s="160"/>
    </row>
    <row r="84" spans="1:10" ht="29.25" customHeight="1">
      <c r="A84" s="160" t="s">
        <v>1223</v>
      </c>
      <c r="B84" s="160" t="s">
        <v>48</v>
      </c>
      <c r="C84" s="160" t="s">
        <v>344</v>
      </c>
      <c r="D84" s="160" t="s">
        <v>2499</v>
      </c>
      <c r="E84" s="160" t="s">
        <v>2661</v>
      </c>
      <c r="F84" s="160" t="s">
        <v>2662</v>
      </c>
      <c r="G84" s="160" t="s">
        <v>2052</v>
      </c>
      <c r="H84" s="160" t="s">
        <v>2663</v>
      </c>
      <c r="I84" s="121"/>
      <c r="J84" s="160"/>
    </row>
    <row r="85" spans="1:10" ht="29.25" customHeight="1">
      <c r="A85" s="160" t="s">
        <v>1229</v>
      </c>
      <c r="B85" s="160" t="s">
        <v>48</v>
      </c>
      <c r="C85" s="160" t="s">
        <v>344</v>
      </c>
      <c r="D85" s="160" t="s">
        <v>2499</v>
      </c>
      <c r="E85" s="279" t="s">
        <v>2664</v>
      </c>
      <c r="F85" s="279" t="s">
        <v>2665</v>
      </c>
      <c r="G85" s="279" t="s">
        <v>2666</v>
      </c>
      <c r="H85" s="279"/>
      <c r="I85" s="121"/>
      <c r="J85" s="58"/>
    </row>
    <row r="86" spans="1:10" ht="29.25" customHeight="1">
      <c r="A86" s="160" t="s">
        <v>1234</v>
      </c>
      <c r="B86" s="160" t="s">
        <v>48</v>
      </c>
      <c r="C86" s="160" t="s">
        <v>344</v>
      </c>
      <c r="D86" s="160" t="s">
        <v>2499</v>
      </c>
      <c r="E86" s="160" t="s">
        <v>2667</v>
      </c>
      <c r="F86" s="279" t="s">
        <v>2668</v>
      </c>
      <c r="G86" s="279" t="s">
        <v>2669</v>
      </c>
      <c r="H86" s="279"/>
      <c r="I86" s="121"/>
      <c r="J86" s="58"/>
    </row>
    <row r="87" spans="1:10" ht="29.25" customHeight="1">
      <c r="A87" s="160" t="s">
        <v>1239</v>
      </c>
      <c r="B87" s="160" t="s">
        <v>48</v>
      </c>
      <c r="C87" s="160" t="s">
        <v>344</v>
      </c>
      <c r="D87" s="160" t="s">
        <v>2499</v>
      </c>
      <c r="E87" s="160" t="s">
        <v>2670</v>
      </c>
      <c r="F87" s="279" t="s">
        <v>2671</v>
      </c>
      <c r="G87" s="279" t="s">
        <v>2672</v>
      </c>
      <c r="H87" s="279"/>
      <c r="I87" s="292"/>
      <c r="J87" s="58"/>
    </row>
    <row r="88" spans="1:10" ht="29.25" customHeight="1">
      <c r="A88" s="160" t="s">
        <v>1244</v>
      </c>
      <c r="B88" s="160" t="s">
        <v>48</v>
      </c>
      <c r="C88" s="160" t="s">
        <v>344</v>
      </c>
      <c r="D88" s="160" t="s">
        <v>2499</v>
      </c>
      <c r="E88" s="160" t="s">
        <v>2673</v>
      </c>
      <c r="F88" s="279" t="s">
        <v>2674</v>
      </c>
      <c r="G88" s="279" t="s">
        <v>2675</v>
      </c>
      <c r="H88" s="279"/>
      <c r="I88" s="121"/>
      <c r="J88" s="58"/>
    </row>
    <row r="89" spans="1:10" ht="29.25" customHeight="1">
      <c r="A89" s="160" t="s">
        <v>1250</v>
      </c>
      <c r="B89" s="160" t="s">
        <v>48</v>
      </c>
      <c r="C89" s="160" t="s">
        <v>344</v>
      </c>
      <c r="D89" s="160" t="s">
        <v>2499</v>
      </c>
      <c r="E89" s="160" t="s">
        <v>2676</v>
      </c>
      <c r="F89" s="279" t="s">
        <v>2677</v>
      </c>
      <c r="G89" s="279" t="s">
        <v>2678</v>
      </c>
      <c r="H89" s="279"/>
      <c r="I89" s="121"/>
      <c r="J89" s="58"/>
    </row>
    <row r="90" spans="1:10" ht="29.25" customHeight="1">
      <c r="A90" s="160" t="s">
        <v>1257</v>
      </c>
      <c r="B90" s="160" t="s">
        <v>48</v>
      </c>
      <c r="C90" s="160" t="s">
        <v>344</v>
      </c>
      <c r="D90" s="160" t="s">
        <v>2679</v>
      </c>
      <c r="E90" s="160" t="s">
        <v>2680</v>
      </c>
      <c r="F90" s="279" t="s">
        <v>2681</v>
      </c>
      <c r="G90" s="279" t="s">
        <v>2682</v>
      </c>
      <c r="H90" s="293"/>
      <c r="I90" s="121"/>
      <c r="J90" s="293"/>
    </row>
    <row r="91" spans="1:10" ht="29.25" customHeight="1">
      <c r="A91" s="160" t="s">
        <v>1262</v>
      </c>
      <c r="B91" s="160" t="s">
        <v>48</v>
      </c>
      <c r="C91" s="160" t="s">
        <v>344</v>
      </c>
      <c r="D91" s="160" t="s">
        <v>2679</v>
      </c>
      <c r="E91" s="160" t="s">
        <v>2683</v>
      </c>
      <c r="F91" s="279" t="s">
        <v>2684</v>
      </c>
      <c r="G91" s="279" t="s">
        <v>2685</v>
      </c>
      <c r="H91" s="279"/>
      <c r="I91" s="294"/>
      <c r="J91" s="231"/>
    </row>
    <row r="92" spans="1:10" ht="29.25" customHeight="1">
      <c r="A92" s="160" t="s">
        <v>1268</v>
      </c>
      <c r="B92" s="160" t="s">
        <v>48</v>
      </c>
      <c r="C92" s="160" t="s">
        <v>344</v>
      </c>
      <c r="D92" s="160" t="s">
        <v>2679</v>
      </c>
      <c r="E92" s="160" t="s">
        <v>2686</v>
      </c>
      <c r="F92" s="279" t="s">
        <v>2687</v>
      </c>
      <c r="G92" s="279" t="s">
        <v>2688</v>
      </c>
      <c r="H92" s="279"/>
      <c r="I92" s="121"/>
      <c r="J92" s="293"/>
    </row>
    <row r="93" spans="1:10" ht="29.25" customHeight="1">
      <c r="A93" s="160" t="s">
        <v>1274</v>
      </c>
      <c r="B93" s="160" t="s">
        <v>48</v>
      </c>
      <c r="C93" s="160" t="s">
        <v>344</v>
      </c>
      <c r="D93" s="160" t="s">
        <v>2679</v>
      </c>
      <c r="E93" s="160" t="s">
        <v>2689</v>
      </c>
      <c r="F93" s="279" t="s">
        <v>2690</v>
      </c>
      <c r="G93" s="279" t="s">
        <v>2691</v>
      </c>
      <c r="H93" s="279"/>
      <c r="I93" s="294"/>
      <c r="J93" s="231"/>
    </row>
    <row r="94" spans="1:10" ht="29.25" customHeight="1">
      <c r="A94" s="160" t="s">
        <v>1280</v>
      </c>
      <c r="B94" s="160" t="s">
        <v>48</v>
      </c>
      <c r="C94" s="160" t="s">
        <v>2466</v>
      </c>
      <c r="D94" s="160" t="s">
        <v>2466</v>
      </c>
      <c r="E94" s="160" t="s">
        <v>2692</v>
      </c>
      <c r="F94" s="279" t="s">
        <v>2693</v>
      </c>
      <c r="G94" s="279" t="s">
        <v>2694</v>
      </c>
      <c r="H94" s="279"/>
      <c r="I94" s="121"/>
      <c r="J94" s="58"/>
    </row>
    <row r="95" spans="1:10" ht="29.25" customHeight="1">
      <c r="A95" s="160" t="s">
        <v>1286</v>
      </c>
      <c r="B95" s="160" t="s">
        <v>48</v>
      </c>
      <c r="C95" s="160" t="s">
        <v>344</v>
      </c>
      <c r="D95" s="160" t="s">
        <v>2499</v>
      </c>
      <c r="E95" s="160" t="s">
        <v>2695</v>
      </c>
      <c r="F95" s="160" t="s">
        <v>2696</v>
      </c>
      <c r="G95" s="160" t="s">
        <v>2697</v>
      </c>
      <c r="H95" s="279"/>
      <c r="I95" s="121"/>
      <c r="J95" s="58"/>
    </row>
    <row r="96" spans="1:10" ht="29.25" customHeight="1">
      <c r="A96" s="160" t="s">
        <v>1292</v>
      </c>
      <c r="B96" s="160" t="s">
        <v>48</v>
      </c>
      <c r="C96" s="160" t="s">
        <v>344</v>
      </c>
      <c r="D96" s="160" t="s">
        <v>2499</v>
      </c>
      <c r="E96" s="160" t="s">
        <v>2698</v>
      </c>
      <c r="F96" s="160" t="s">
        <v>2699</v>
      </c>
      <c r="G96" s="160" t="s">
        <v>2700</v>
      </c>
      <c r="H96" s="279"/>
      <c r="I96" s="121"/>
      <c r="J96" s="58"/>
    </row>
    <row r="97" spans="1:10" ht="29.25" customHeight="1">
      <c r="A97" s="160" t="s">
        <v>1298</v>
      </c>
      <c r="B97" s="160" t="s">
        <v>48</v>
      </c>
      <c r="C97" s="160" t="s">
        <v>344</v>
      </c>
      <c r="D97" s="160" t="s">
        <v>2499</v>
      </c>
      <c r="E97" s="160" t="s">
        <v>2701</v>
      </c>
      <c r="F97" s="160" t="s">
        <v>2702</v>
      </c>
      <c r="G97" s="160" t="s">
        <v>2703</v>
      </c>
      <c r="H97" s="279"/>
      <c r="I97" s="121"/>
      <c r="J97" s="58"/>
    </row>
    <row r="98" spans="1:10" ht="29.25" customHeight="1">
      <c r="A98" s="160" t="s">
        <v>1304</v>
      </c>
      <c r="B98" s="160" t="s">
        <v>48</v>
      </c>
      <c r="C98" s="160" t="s">
        <v>344</v>
      </c>
      <c r="D98" s="160" t="s">
        <v>2499</v>
      </c>
      <c r="E98" s="160" t="s">
        <v>2704</v>
      </c>
      <c r="F98" s="160" t="s">
        <v>2705</v>
      </c>
      <c r="G98" s="160" t="s">
        <v>2706</v>
      </c>
      <c r="H98" s="279"/>
      <c r="I98" s="121"/>
      <c r="J98" s="58"/>
    </row>
    <row r="99" spans="1:10" ht="29.25" customHeight="1">
      <c r="A99" s="160" t="s">
        <v>1310</v>
      </c>
      <c r="B99" s="160" t="s">
        <v>48</v>
      </c>
      <c r="C99" s="160" t="s">
        <v>344</v>
      </c>
      <c r="D99" s="160" t="s">
        <v>2499</v>
      </c>
      <c r="E99" s="160" t="s">
        <v>2707</v>
      </c>
      <c r="F99" s="160" t="s">
        <v>2708</v>
      </c>
      <c r="G99" s="160" t="s">
        <v>2706</v>
      </c>
      <c r="H99" s="279"/>
      <c r="I99" s="121"/>
      <c r="J99" s="58"/>
    </row>
    <row r="100" spans="1:10" ht="29.25" customHeight="1">
      <c r="A100" s="160" t="s">
        <v>1316</v>
      </c>
      <c r="B100" s="160" t="s">
        <v>48</v>
      </c>
      <c r="C100" s="160" t="s">
        <v>344</v>
      </c>
      <c r="D100" s="160" t="s">
        <v>2499</v>
      </c>
      <c r="E100" s="160" t="s">
        <v>2709</v>
      </c>
      <c r="F100" s="160" t="s">
        <v>2710</v>
      </c>
      <c r="G100" s="160" t="s">
        <v>2711</v>
      </c>
      <c r="H100" s="279"/>
      <c r="I100" s="121"/>
      <c r="J100" s="58"/>
    </row>
    <row r="101" spans="1:10" ht="29.25" customHeight="1">
      <c r="A101" s="160" t="s">
        <v>1322</v>
      </c>
      <c r="B101" s="160" t="s">
        <v>48</v>
      </c>
      <c r="C101" s="279" t="s">
        <v>344</v>
      </c>
      <c r="D101" s="279" t="s">
        <v>2384</v>
      </c>
      <c r="E101" s="279" t="s">
        <v>2712</v>
      </c>
      <c r="F101" s="160" t="s">
        <v>2713</v>
      </c>
      <c r="G101" s="279" t="s">
        <v>2714</v>
      </c>
      <c r="H101" s="160"/>
      <c r="I101" s="121"/>
      <c r="J101" s="293"/>
    </row>
    <row r="102" spans="1:10" ht="29.25" customHeight="1">
      <c r="A102" s="160" t="s">
        <v>1328</v>
      </c>
      <c r="B102" s="160" t="s">
        <v>48</v>
      </c>
      <c r="C102" s="279" t="s">
        <v>344</v>
      </c>
      <c r="D102" s="279" t="s">
        <v>2715</v>
      </c>
      <c r="E102" s="279" t="s">
        <v>2716</v>
      </c>
      <c r="F102" s="279" t="s">
        <v>2717</v>
      </c>
      <c r="G102" s="279" t="s">
        <v>2718</v>
      </c>
      <c r="H102" s="279"/>
      <c r="I102" s="292"/>
      <c r="J102" s="293"/>
    </row>
    <row r="103" spans="1:10" ht="187.5" customHeight="1">
      <c r="A103" s="160" t="s">
        <v>1335</v>
      </c>
      <c r="B103" s="160" t="s">
        <v>48</v>
      </c>
      <c r="C103" s="279" t="s">
        <v>344</v>
      </c>
      <c r="D103" s="237" t="s">
        <v>344</v>
      </c>
      <c r="E103" s="279" t="s">
        <v>2719</v>
      </c>
      <c r="F103" s="237" t="s">
        <v>2720</v>
      </c>
      <c r="G103" s="237" t="s">
        <v>2721</v>
      </c>
      <c r="H103" s="237" t="s">
        <v>2722</v>
      </c>
      <c r="I103" s="292"/>
      <c r="J103" s="293"/>
    </row>
    <row r="104" spans="1:10" ht="29.25" customHeight="1">
      <c r="A104" s="160" t="s">
        <v>1339</v>
      </c>
      <c r="B104" s="279" t="s">
        <v>48</v>
      </c>
      <c r="C104" s="279" t="s">
        <v>2723</v>
      </c>
      <c r="D104" s="279" t="s">
        <v>2724</v>
      </c>
      <c r="E104" s="279" t="s">
        <v>2725</v>
      </c>
      <c r="F104" s="279" t="s">
        <v>2726</v>
      </c>
      <c r="G104" s="279" t="s">
        <v>2727</v>
      </c>
      <c r="H104" s="58" t="s">
        <v>2728</v>
      </c>
      <c r="I104" s="295"/>
      <c r="J104" s="293"/>
    </row>
    <row r="105" spans="1:10" ht="29.25" customHeight="1">
      <c r="A105" s="160" t="s">
        <v>1345</v>
      </c>
      <c r="B105" s="279" t="s">
        <v>48</v>
      </c>
      <c r="C105" s="279" t="s">
        <v>2723</v>
      </c>
      <c r="D105" s="279" t="s">
        <v>2729</v>
      </c>
      <c r="E105" s="279" t="s">
        <v>2730</v>
      </c>
      <c r="F105" s="279" t="s">
        <v>2731</v>
      </c>
      <c r="G105" s="279" t="s">
        <v>2732</v>
      </c>
      <c r="H105" s="58" t="s">
        <v>2733</v>
      </c>
      <c r="I105" s="295"/>
      <c r="J105" s="293"/>
    </row>
    <row r="106" spans="1:10" ht="29.25" customHeight="1">
      <c r="A106" s="160" t="s">
        <v>1350</v>
      </c>
      <c r="B106" s="279" t="s">
        <v>48</v>
      </c>
      <c r="C106" s="279" t="s">
        <v>2723</v>
      </c>
      <c r="D106" s="279" t="s">
        <v>2734</v>
      </c>
      <c r="E106" s="279" t="s">
        <v>2735</v>
      </c>
      <c r="F106" s="279" t="s">
        <v>2736</v>
      </c>
      <c r="G106" s="279" t="s">
        <v>2737</v>
      </c>
      <c r="H106" s="58" t="s">
        <v>2738</v>
      </c>
      <c r="I106" s="295"/>
      <c r="J106" s="293"/>
    </row>
    <row r="107" spans="1:10" ht="29.25" customHeight="1">
      <c r="A107" s="160" t="s">
        <v>1353</v>
      </c>
      <c r="B107" s="279" t="s">
        <v>48</v>
      </c>
      <c r="C107" s="279" t="s">
        <v>2723</v>
      </c>
      <c r="D107" s="279" t="s">
        <v>2739</v>
      </c>
      <c r="E107" s="279" t="s">
        <v>2740</v>
      </c>
      <c r="F107" s="279" t="s">
        <v>2741</v>
      </c>
      <c r="G107" s="279" t="s">
        <v>2742</v>
      </c>
      <c r="H107" s="58" t="s">
        <v>2743</v>
      </c>
      <c r="I107" s="295"/>
      <c r="J107" s="293"/>
    </row>
    <row r="108" spans="1:10" ht="29.25" customHeight="1">
      <c r="A108" s="160" t="s">
        <v>1359</v>
      </c>
      <c r="B108" s="279" t="s">
        <v>48</v>
      </c>
      <c r="C108" s="279" t="s">
        <v>2723</v>
      </c>
      <c r="D108" s="279" t="s">
        <v>2744</v>
      </c>
      <c r="E108" s="279" t="s">
        <v>2745</v>
      </c>
      <c r="F108" s="279" t="s">
        <v>2746</v>
      </c>
      <c r="G108" s="279" t="s">
        <v>2747</v>
      </c>
      <c r="H108" s="58" t="s">
        <v>2748</v>
      </c>
      <c r="I108" s="295"/>
      <c r="J108" s="293"/>
    </row>
    <row r="109" spans="1:10" ht="29.25" customHeight="1">
      <c r="A109" s="160" t="s">
        <v>1363</v>
      </c>
      <c r="B109" s="279" t="s">
        <v>48</v>
      </c>
      <c r="C109" s="279" t="s">
        <v>2723</v>
      </c>
      <c r="D109" s="279" t="s">
        <v>2749</v>
      </c>
      <c r="E109" s="279" t="s">
        <v>2750</v>
      </c>
      <c r="F109" s="279" t="s">
        <v>2751</v>
      </c>
      <c r="G109" s="279" t="s">
        <v>2752</v>
      </c>
      <c r="H109" s="58" t="s">
        <v>2753</v>
      </c>
      <c r="I109" s="295"/>
      <c r="J109" s="293"/>
    </row>
    <row r="110" spans="1:10" ht="29.25" customHeight="1">
      <c r="A110" s="160" t="s">
        <v>1367</v>
      </c>
      <c r="B110" s="279" t="s">
        <v>48</v>
      </c>
      <c r="C110" s="279" t="s">
        <v>2723</v>
      </c>
      <c r="D110" s="279" t="s">
        <v>2754</v>
      </c>
      <c r="E110" s="279" t="s">
        <v>2755</v>
      </c>
      <c r="F110" s="279" t="s">
        <v>2756</v>
      </c>
      <c r="G110" s="279" t="s">
        <v>2757</v>
      </c>
      <c r="H110" s="58" t="s">
        <v>2758</v>
      </c>
      <c r="I110" s="295"/>
      <c r="J110" s="293"/>
    </row>
    <row r="111" spans="1:10" ht="29.25" customHeight="1">
      <c r="A111" s="160" t="s">
        <v>1373</v>
      </c>
      <c r="B111" s="279" t="s">
        <v>48</v>
      </c>
      <c r="C111" s="279" t="s">
        <v>2723</v>
      </c>
      <c r="D111" s="279" t="s">
        <v>2759</v>
      </c>
      <c r="E111" s="279" t="s">
        <v>2760</v>
      </c>
      <c r="F111" s="279" t="s">
        <v>2761</v>
      </c>
      <c r="G111" s="279" t="s">
        <v>2762</v>
      </c>
      <c r="H111" s="58" t="s">
        <v>2763</v>
      </c>
      <c r="I111" s="295"/>
      <c r="J111" s="293"/>
    </row>
    <row r="112" spans="1:10" ht="29.25" customHeight="1">
      <c r="A112" s="160" t="s">
        <v>1378</v>
      </c>
      <c r="B112" s="282" t="s">
        <v>48</v>
      </c>
      <c r="C112" s="282" t="s">
        <v>344</v>
      </c>
      <c r="D112" s="279" t="s">
        <v>2764</v>
      </c>
      <c r="E112" s="296" t="s">
        <v>2765</v>
      </c>
      <c r="F112" s="11" t="s">
        <v>2766</v>
      </c>
      <c r="G112" s="11" t="s">
        <v>2767</v>
      </c>
      <c r="H112" s="296" t="s">
        <v>2768</v>
      </c>
      <c r="I112" s="292"/>
      <c r="J112" s="293"/>
    </row>
    <row r="113" spans="1:10" ht="29.25" customHeight="1">
      <c r="A113" s="160" t="s">
        <v>1382</v>
      </c>
      <c r="B113" s="282" t="s">
        <v>48</v>
      </c>
      <c r="C113" s="282" t="s">
        <v>344</v>
      </c>
      <c r="D113" s="279" t="s">
        <v>2679</v>
      </c>
      <c r="E113" s="293" t="s">
        <v>2769</v>
      </c>
      <c r="F113" s="160" t="s">
        <v>2770</v>
      </c>
      <c r="G113" s="279" t="s">
        <v>2771</v>
      </c>
      <c r="H113" s="293" t="s">
        <v>2772</v>
      </c>
      <c r="I113" s="292"/>
      <c r="J113" s="29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87"/>
  <sheetViews>
    <sheetView topLeftCell="D1" zoomScale="70" zoomScaleNormal="70" workbookViewId="0">
      <selection activeCell="J2" sqref="J2:K87"/>
    </sheetView>
  </sheetViews>
  <sheetFormatPr defaultColWidth="9.5703125" defaultRowHeight="27.75" customHeight="1"/>
  <cols>
    <col min="1" max="1" width="5" style="53" customWidth="1"/>
    <col min="2" max="2" width="13.140625" style="53" customWidth="1"/>
    <col min="3" max="3" width="14" style="53" customWidth="1"/>
    <col min="4" max="4" width="15.7109375" style="53" customWidth="1"/>
    <col min="5" max="5" width="62" style="53" customWidth="1"/>
    <col min="6" max="6" width="33.140625" style="53" customWidth="1"/>
    <col min="7" max="7" width="36" style="53" customWidth="1"/>
    <col min="8" max="8" width="30.5703125" style="53" customWidth="1"/>
    <col min="9" max="9" width="14.140625" style="1" customWidth="1"/>
    <col min="10" max="10" width="20.42578125" style="223" customWidth="1"/>
    <col min="11" max="11" width="15.5703125" style="53" customWidth="1"/>
    <col min="12" max="18" width="9.5703125" style="53" customWidth="1"/>
    <col min="19" max="16384" width="9.5703125" style="53"/>
  </cols>
  <sheetData>
    <row r="1" spans="1:11" ht="27.75" customHeight="1">
      <c r="A1" s="54" t="s">
        <v>37</v>
      </c>
      <c r="B1" s="54" t="s">
        <v>38</v>
      </c>
      <c r="C1" s="54" t="s">
        <v>39</v>
      </c>
      <c r="D1" s="54" t="s">
        <v>40</v>
      </c>
      <c r="E1" s="54" t="s">
        <v>41</v>
      </c>
      <c r="F1" s="54" t="s">
        <v>42</v>
      </c>
      <c r="G1" s="55" t="s">
        <v>43</v>
      </c>
      <c r="H1" s="54" t="s">
        <v>1950</v>
      </c>
      <c r="I1" s="138" t="s">
        <v>45</v>
      </c>
      <c r="J1" s="143" t="s">
        <v>46</v>
      </c>
      <c r="K1" s="15"/>
    </row>
    <row r="2" spans="1:11" ht="27.75" customHeight="1">
      <c r="A2" s="46" t="s">
        <v>47</v>
      </c>
      <c r="B2" s="46" t="s">
        <v>48</v>
      </c>
      <c r="C2" s="46" t="s">
        <v>2773</v>
      </c>
      <c r="D2" s="46" t="s">
        <v>2774</v>
      </c>
      <c r="E2" s="46" t="s">
        <v>2775</v>
      </c>
      <c r="F2" s="46" t="s">
        <v>2776</v>
      </c>
      <c r="G2" s="46" t="s">
        <v>2777</v>
      </c>
      <c r="H2" s="46" t="s">
        <v>2778</v>
      </c>
      <c r="I2" s="57"/>
      <c r="J2" s="46"/>
      <c r="K2" s="15"/>
    </row>
    <row r="3" spans="1:11" ht="27.75" customHeight="1">
      <c r="A3" s="46" t="s">
        <v>55</v>
      </c>
      <c r="B3" s="46" t="s">
        <v>48</v>
      </c>
      <c r="C3" s="46" t="s">
        <v>2773</v>
      </c>
      <c r="D3" s="46" t="s">
        <v>2744</v>
      </c>
      <c r="E3" s="46" t="s">
        <v>2779</v>
      </c>
      <c r="F3" s="46" t="s">
        <v>2780</v>
      </c>
      <c r="G3" s="46" t="s">
        <v>2781</v>
      </c>
      <c r="H3" s="46" t="s">
        <v>2782</v>
      </c>
      <c r="I3" s="57"/>
      <c r="J3" s="46"/>
      <c r="K3" s="15"/>
    </row>
    <row r="4" spans="1:11" ht="27.75" customHeight="1">
      <c r="A4" s="46" t="s">
        <v>60</v>
      </c>
      <c r="B4" s="46" t="s">
        <v>48</v>
      </c>
      <c r="C4" s="46" t="s">
        <v>2773</v>
      </c>
      <c r="D4" s="46" t="s">
        <v>2783</v>
      </c>
      <c r="E4" s="46" t="s">
        <v>2784</v>
      </c>
      <c r="F4" s="46" t="s">
        <v>2785</v>
      </c>
      <c r="G4" s="46" t="s">
        <v>2786</v>
      </c>
      <c r="H4" s="46" t="s">
        <v>2787</v>
      </c>
      <c r="I4" s="57"/>
      <c r="J4" s="46"/>
      <c r="K4" s="15"/>
    </row>
    <row r="5" spans="1:11" ht="27.75" customHeight="1">
      <c r="A5" s="46" t="s">
        <v>65</v>
      </c>
      <c r="B5" s="46" t="s">
        <v>48</v>
      </c>
      <c r="C5" s="46" t="s">
        <v>2773</v>
      </c>
      <c r="D5" s="46" t="s">
        <v>2788</v>
      </c>
      <c r="E5" s="46" t="s">
        <v>2789</v>
      </c>
      <c r="F5" s="46" t="s">
        <v>2790</v>
      </c>
      <c r="G5" s="46" t="s">
        <v>2791</v>
      </c>
      <c r="H5" s="46" t="s">
        <v>2792</v>
      </c>
      <c r="I5" s="57"/>
      <c r="J5" s="46"/>
      <c r="K5" s="15"/>
    </row>
    <row r="6" spans="1:11" ht="27.75" customHeight="1">
      <c r="A6" s="46" t="s">
        <v>70</v>
      </c>
      <c r="B6" s="46" t="s">
        <v>48</v>
      </c>
      <c r="C6" s="46" t="s">
        <v>2773</v>
      </c>
      <c r="D6" s="46" t="s">
        <v>2793</v>
      </c>
      <c r="E6" s="46" t="s">
        <v>2794</v>
      </c>
      <c r="F6" s="46" t="s">
        <v>2795</v>
      </c>
      <c r="G6" s="46" t="s">
        <v>2796</v>
      </c>
      <c r="H6" s="46" t="s">
        <v>2797</v>
      </c>
      <c r="I6" s="57"/>
      <c r="J6" s="46"/>
      <c r="K6" s="15"/>
    </row>
    <row r="7" spans="1:11" ht="27.75" customHeight="1">
      <c r="A7" s="46" t="s">
        <v>74</v>
      </c>
      <c r="B7" s="46" t="s">
        <v>48</v>
      </c>
      <c r="C7" s="46" t="s">
        <v>2773</v>
      </c>
      <c r="D7" s="46" t="s">
        <v>2793</v>
      </c>
      <c r="E7" s="46" t="s">
        <v>2798</v>
      </c>
      <c r="F7" s="46" t="s">
        <v>2799</v>
      </c>
      <c r="G7" s="46" t="s">
        <v>2800</v>
      </c>
      <c r="H7" s="46" t="s">
        <v>2801</v>
      </c>
      <c r="I7" s="57"/>
      <c r="J7" s="200"/>
      <c r="K7" s="15"/>
    </row>
    <row r="8" spans="1:11" ht="27.75" customHeight="1">
      <c r="A8" s="46" t="s">
        <v>79</v>
      </c>
      <c r="B8" s="46" t="s">
        <v>48</v>
      </c>
      <c r="C8" s="46" t="s">
        <v>2773</v>
      </c>
      <c r="D8" s="46" t="s">
        <v>2802</v>
      </c>
      <c r="E8" s="46" t="s">
        <v>2803</v>
      </c>
      <c r="F8" s="46" t="s">
        <v>2804</v>
      </c>
      <c r="G8" s="46" t="s">
        <v>2805</v>
      </c>
      <c r="H8" s="46" t="s">
        <v>2806</v>
      </c>
      <c r="I8" s="57"/>
      <c r="J8" s="46"/>
      <c r="K8" s="15"/>
    </row>
    <row r="9" spans="1:11" ht="27.75" customHeight="1">
      <c r="A9" s="46" t="s">
        <v>84</v>
      </c>
      <c r="B9" s="46" t="s">
        <v>48</v>
      </c>
      <c r="C9" s="46" t="s">
        <v>2807</v>
      </c>
      <c r="D9" s="46" t="s">
        <v>2744</v>
      </c>
      <c r="E9" s="46" t="s">
        <v>2808</v>
      </c>
      <c r="F9" s="46" t="s">
        <v>2809</v>
      </c>
      <c r="G9" s="46" t="s">
        <v>2810</v>
      </c>
      <c r="H9" s="46" t="s">
        <v>2811</v>
      </c>
      <c r="I9" s="57"/>
      <c r="J9" s="46"/>
      <c r="K9" s="15"/>
    </row>
    <row r="10" spans="1:11" ht="27.75" customHeight="1">
      <c r="A10" s="46" t="s">
        <v>89</v>
      </c>
      <c r="B10" s="46" t="s">
        <v>48</v>
      </c>
      <c r="C10" s="46" t="s">
        <v>2812</v>
      </c>
      <c r="D10" s="46" t="s">
        <v>2744</v>
      </c>
      <c r="E10" s="46" t="s">
        <v>2813</v>
      </c>
      <c r="F10" s="46" t="s">
        <v>2814</v>
      </c>
      <c r="G10" s="46" t="s">
        <v>2815</v>
      </c>
      <c r="H10" s="46" t="s">
        <v>2816</v>
      </c>
      <c r="I10" s="57"/>
      <c r="J10" s="46"/>
      <c r="K10" s="15"/>
    </row>
    <row r="11" spans="1:11" ht="27.75" customHeight="1">
      <c r="A11" s="46" t="s">
        <v>94</v>
      </c>
      <c r="B11" s="46" t="s">
        <v>48</v>
      </c>
      <c r="C11" s="46" t="s">
        <v>1133</v>
      </c>
      <c r="D11" s="46" t="s">
        <v>2744</v>
      </c>
      <c r="E11" s="46" t="s">
        <v>2817</v>
      </c>
      <c r="F11" s="46" t="s">
        <v>2818</v>
      </c>
      <c r="G11" s="46" t="s">
        <v>2819</v>
      </c>
      <c r="H11" s="46" t="s">
        <v>2820</v>
      </c>
      <c r="I11" s="57"/>
      <c r="J11" s="46"/>
      <c r="K11" s="15"/>
    </row>
    <row r="12" spans="1:11" ht="27.75" customHeight="1">
      <c r="A12" s="46" t="s">
        <v>99</v>
      </c>
      <c r="B12" s="46" t="s">
        <v>48</v>
      </c>
      <c r="C12" s="46" t="s">
        <v>2821</v>
      </c>
      <c r="D12" s="46" t="s">
        <v>2822</v>
      </c>
      <c r="E12" s="46" t="s">
        <v>2823</v>
      </c>
      <c r="F12" s="46" t="s">
        <v>2824</v>
      </c>
      <c r="G12" s="46" t="s">
        <v>2081</v>
      </c>
      <c r="H12" s="46" t="s">
        <v>2825</v>
      </c>
      <c r="I12" s="57"/>
      <c r="J12" s="46"/>
      <c r="K12" s="15"/>
    </row>
    <row r="13" spans="1:11" ht="27.75" customHeight="1">
      <c r="A13" s="46" t="s">
        <v>103</v>
      </c>
      <c r="B13" s="46" t="s">
        <v>48</v>
      </c>
      <c r="C13" s="46" t="s">
        <v>2821</v>
      </c>
      <c r="D13" s="46" t="s">
        <v>2826</v>
      </c>
      <c r="E13" s="46" t="s">
        <v>648</v>
      </c>
      <c r="F13" s="46" t="s">
        <v>2827</v>
      </c>
      <c r="G13" s="46" t="s">
        <v>2828</v>
      </c>
      <c r="H13" s="46" t="s">
        <v>2829</v>
      </c>
      <c r="I13" s="57"/>
      <c r="J13" s="46"/>
      <c r="K13" s="15"/>
    </row>
    <row r="14" spans="1:11" ht="27.75" customHeight="1">
      <c r="A14" s="46" t="s">
        <v>108</v>
      </c>
      <c r="B14" s="46" t="s">
        <v>48</v>
      </c>
      <c r="C14" s="46" t="s">
        <v>2821</v>
      </c>
      <c r="D14" s="46" t="s">
        <v>2826</v>
      </c>
      <c r="E14" s="46" t="s">
        <v>652</v>
      </c>
      <c r="F14" s="46" t="s">
        <v>2830</v>
      </c>
      <c r="G14" s="46" t="s">
        <v>2831</v>
      </c>
      <c r="H14" s="46" t="s">
        <v>2832</v>
      </c>
      <c r="I14" s="57"/>
      <c r="J14" s="46"/>
      <c r="K14" s="15"/>
    </row>
    <row r="15" spans="1:11" ht="27.75" customHeight="1">
      <c r="A15" s="46" t="s">
        <v>112</v>
      </c>
      <c r="B15" s="46" t="s">
        <v>48</v>
      </c>
      <c r="C15" s="46" t="s">
        <v>2833</v>
      </c>
      <c r="D15" s="46" t="s">
        <v>2834</v>
      </c>
      <c r="E15" s="46" t="s">
        <v>660</v>
      </c>
      <c r="F15" s="46" t="s">
        <v>2835</v>
      </c>
      <c r="G15" s="46" t="s">
        <v>662</v>
      </c>
      <c r="H15" s="46" t="s">
        <v>2836</v>
      </c>
      <c r="I15" s="57"/>
      <c r="J15" s="46"/>
      <c r="K15" s="15"/>
    </row>
    <row r="16" spans="1:11" ht="27.75" customHeight="1">
      <c r="A16" s="46" t="s">
        <v>118</v>
      </c>
      <c r="B16" s="46" t="s">
        <v>48</v>
      </c>
      <c r="C16" s="46" t="s">
        <v>2833</v>
      </c>
      <c r="D16" s="46" t="s">
        <v>2822</v>
      </c>
      <c r="E16" s="46" t="s">
        <v>2096</v>
      </c>
      <c r="F16" s="46" t="s">
        <v>2837</v>
      </c>
      <c r="G16" s="46" t="s">
        <v>2838</v>
      </c>
      <c r="H16" s="46" t="s">
        <v>2839</v>
      </c>
      <c r="I16" s="57"/>
      <c r="J16" s="46"/>
      <c r="K16" s="15"/>
    </row>
    <row r="17" spans="1:11" ht="27.75" customHeight="1">
      <c r="A17" s="46" t="s">
        <v>124</v>
      </c>
      <c r="B17" s="46" t="s">
        <v>48</v>
      </c>
      <c r="C17" s="46" t="s">
        <v>2840</v>
      </c>
      <c r="D17" s="46" t="s">
        <v>2841</v>
      </c>
      <c r="E17" s="46" t="s">
        <v>668</v>
      </c>
      <c r="F17" s="46" t="s">
        <v>2842</v>
      </c>
      <c r="G17" s="46" t="s">
        <v>2843</v>
      </c>
      <c r="H17" s="46" t="s">
        <v>2844</v>
      </c>
      <c r="I17" s="57"/>
      <c r="J17" s="46"/>
      <c r="K17" s="15"/>
    </row>
    <row r="18" spans="1:11" ht="27.75" customHeight="1">
      <c r="A18" s="46" t="s">
        <v>129</v>
      </c>
      <c r="B18" s="46" t="s">
        <v>48</v>
      </c>
      <c r="C18" s="46" t="s">
        <v>2788</v>
      </c>
      <c r="D18" s="46" t="s">
        <v>2078</v>
      </c>
      <c r="E18" s="46" t="s">
        <v>685</v>
      </c>
      <c r="F18" s="46" t="s">
        <v>2845</v>
      </c>
      <c r="G18" s="46" t="s">
        <v>2846</v>
      </c>
      <c r="H18" s="46" t="s">
        <v>2582</v>
      </c>
      <c r="I18" s="57"/>
      <c r="J18" s="46"/>
      <c r="K18" s="15"/>
    </row>
    <row r="19" spans="1:11" ht="27.75" customHeight="1">
      <c r="A19" s="46" t="s">
        <v>133</v>
      </c>
      <c r="B19" s="46" t="s">
        <v>48</v>
      </c>
      <c r="C19" s="46" t="s">
        <v>727</v>
      </c>
      <c r="D19" s="46" t="s">
        <v>634</v>
      </c>
      <c r="E19" s="46" t="s">
        <v>728</v>
      </c>
      <c r="F19" s="46" t="s">
        <v>2847</v>
      </c>
      <c r="G19" s="46" t="s">
        <v>2848</v>
      </c>
      <c r="H19" s="46" t="s">
        <v>2849</v>
      </c>
      <c r="I19" s="57"/>
      <c r="J19" s="46"/>
      <c r="K19" s="15"/>
    </row>
    <row r="20" spans="1:11" ht="27.75" customHeight="1">
      <c r="A20" s="46" t="s">
        <v>137</v>
      </c>
      <c r="B20" s="46" t="s">
        <v>48</v>
      </c>
      <c r="C20" s="46" t="s">
        <v>2850</v>
      </c>
      <c r="D20" s="46" t="s">
        <v>2851</v>
      </c>
      <c r="E20" s="46" t="s">
        <v>2852</v>
      </c>
      <c r="F20" s="46" t="s">
        <v>2853</v>
      </c>
      <c r="G20" s="46" t="s">
        <v>2854</v>
      </c>
      <c r="H20" s="46" t="s">
        <v>2855</v>
      </c>
      <c r="I20" s="57"/>
      <c r="J20" s="46"/>
      <c r="K20" s="15"/>
    </row>
    <row r="21" spans="1:11" ht="27.75" customHeight="1">
      <c r="A21" s="46" t="s">
        <v>142</v>
      </c>
      <c r="B21" s="46" t="s">
        <v>48</v>
      </c>
      <c r="C21" s="46" t="s">
        <v>2850</v>
      </c>
      <c r="D21" s="46" t="s">
        <v>634</v>
      </c>
      <c r="E21" s="46" t="s">
        <v>2856</v>
      </c>
      <c r="F21" s="46" t="s">
        <v>2857</v>
      </c>
      <c r="G21" s="46" t="s">
        <v>2858</v>
      </c>
      <c r="H21" s="46" t="s">
        <v>2859</v>
      </c>
      <c r="I21" s="57"/>
      <c r="J21" s="46"/>
      <c r="K21" s="15"/>
    </row>
    <row r="22" spans="1:11" ht="27.75" customHeight="1">
      <c r="A22" s="46" t="s">
        <v>146</v>
      </c>
      <c r="B22" s="46" t="s">
        <v>48</v>
      </c>
      <c r="C22" s="46" t="s">
        <v>2850</v>
      </c>
      <c r="D22" s="46" t="s">
        <v>2860</v>
      </c>
      <c r="E22" s="46" t="s">
        <v>2861</v>
      </c>
      <c r="F22" s="46" t="s">
        <v>2862</v>
      </c>
      <c r="G22" s="46" t="s">
        <v>2863</v>
      </c>
      <c r="H22" s="46" t="s">
        <v>2864</v>
      </c>
      <c r="I22" s="57"/>
      <c r="J22" s="46"/>
      <c r="K22" s="15"/>
    </row>
    <row r="23" spans="1:11" ht="27.75" customHeight="1">
      <c r="A23" s="46" t="s">
        <v>151</v>
      </c>
      <c r="B23" s="46" t="s">
        <v>48</v>
      </c>
      <c r="C23" s="46" t="s">
        <v>2850</v>
      </c>
      <c r="D23" s="46" t="s">
        <v>2860</v>
      </c>
      <c r="E23" s="46" t="s">
        <v>2865</v>
      </c>
      <c r="F23" s="46" t="s">
        <v>2866</v>
      </c>
      <c r="G23" s="46" t="s">
        <v>2867</v>
      </c>
      <c r="H23" s="46" t="s">
        <v>2868</v>
      </c>
      <c r="I23" s="57"/>
      <c r="J23" s="46"/>
      <c r="K23" s="15"/>
    </row>
    <row r="24" spans="1:11" ht="27.75" customHeight="1">
      <c r="A24" s="46" t="s">
        <v>154</v>
      </c>
      <c r="B24" s="46" t="s">
        <v>48</v>
      </c>
      <c r="C24" s="46" t="s">
        <v>2850</v>
      </c>
      <c r="D24" s="46" t="s">
        <v>634</v>
      </c>
      <c r="E24" s="46" t="s">
        <v>2869</v>
      </c>
      <c r="F24" s="46" t="s">
        <v>2870</v>
      </c>
      <c r="G24" s="46" t="s">
        <v>2871</v>
      </c>
      <c r="H24" s="46" t="s">
        <v>2872</v>
      </c>
      <c r="I24" s="57"/>
      <c r="J24" s="46"/>
      <c r="K24" s="15"/>
    </row>
    <row r="25" spans="1:11" ht="27.75" customHeight="1">
      <c r="A25" s="46" t="s">
        <v>158</v>
      </c>
      <c r="B25" s="46" t="s">
        <v>48</v>
      </c>
      <c r="C25" s="46" t="s">
        <v>2850</v>
      </c>
      <c r="D25" s="46" t="s">
        <v>2860</v>
      </c>
      <c r="E25" s="46" t="s">
        <v>2873</v>
      </c>
      <c r="F25" s="46" t="s">
        <v>2874</v>
      </c>
      <c r="G25" s="46" t="s">
        <v>2875</v>
      </c>
      <c r="H25" s="46" t="s">
        <v>2876</v>
      </c>
      <c r="I25" s="57"/>
      <c r="J25" s="46"/>
      <c r="K25" s="15"/>
    </row>
    <row r="26" spans="1:11" ht="27.75" customHeight="1">
      <c r="A26" s="46" t="s">
        <v>164</v>
      </c>
      <c r="B26" s="46" t="s">
        <v>48</v>
      </c>
      <c r="C26" s="46" t="s">
        <v>2850</v>
      </c>
      <c r="D26" s="46" t="s">
        <v>2860</v>
      </c>
      <c r="E26" s="46" t="s">
        <v>2877</v>
      </c>
      <c r="F26" s="46" t="s">
        <v>2878</v>
      </c>
      <c r="G26" s="46" t="s">
        <v>2879</v>
      </c>
      <c r="H26" s="46" t="s">
        <v>2880</v>
      </c>
      <c r="I26" s="57"/>
      <c r="J26" s="46"/>
      <c r="K26" s="15"/>
    </row>
    <row r="27" spans="1:11" ht="27.75" customHeight="1">
      <c r="A27" s="46" t="s">
        <v>170</v>
      </c>
      <c r="B27" s="46" t="s">
        <v>48</v>
      </c>
      <c r="C27" s="46" t="s">
        <v>2850</v>
      </c>
      <c r="D27" s="46" t="s">
        <v>634</v>
      </c>
      <c r="E27" s="46" t="s">
        <v>2881</v>
      </c>
      <c r="F27" s="46" t="s">
        <v>2882</v>
      </c>
      <c r="G27" s="46" t="s">
        <v>2883</v>
      </c>
      <c r="H27" s="46" t="s">
        <v>2884</v>
      </c>
      <c r="I27" s="57"/>
      <c r="J27" s="46"/>
      <c r="K27" s="15"/>
    </row>
    <row r="28" spans="1:11" ht="27.75" customHeight="1">
      <c r="A28" s="46" t="s">
        <v>283</v>
      </c>
      <c r="B28" s="46" t="s">
        <v>48</v>
      </c>
      <c r="C28" s="46" t="s">
        <v>2850</v>
      </c>
      <c r="D28" s="46" t="s">
        <v>2860</v>
      </c>
      <c r="E28" s="46" t="s">
        <v>2885</v>
      </c>
      <c r="F28" s="46" t="s">
        <v>2886</v>
      </c>
      <c r="G28" s="46" t="s">
        <v>2887</v>
      </c>
      <c r="H28" s="46" t="s">
        <v>2888</v>
      </c>
      <c r="I28" s="57"/>
      <c r="J28" s="46"/>
      <c r="K28" s="15"/>
    </row>
    <row r="29" spans="1:11" ht="27.75" customHeight="1">
      <c r="A29" s="46" t="s">
        <v>288</v>
      </c>
      <c r="B29" s="46" t="s">
        <v>48</v>
      </c>
      <c r="C29" s="46" t="s">
        <v>2850</v>
      </c>
      <c r="D29" s="46" t="s">
        <v>2860</v>
      </c>
      <c r="E29" s="46" t="s">
        <v>2889</v>
      </c>
      <c r="F29" s="46" t="s">
        <v>2890</v>
      </c>
      <c r="G29" s="46" t="s">
        <v>2891</v>
      </c>
      <c r="H29" s="46" t="s">
        <v>2892</v>
      </c>
      <c r="I29" s="57"/>
      <c r="J29" s="46"/>
      <c r="K29" s="15"/>
    </row>
    <row r="30" spans="1:11" ht="27.75" customHeight="1">
      <c r="A30" s="46" t="s">
        <v>293</v>
      </c>
      <c r="B30" s="46" t="s">
        <v>48</v>
      </c>
      <c r="C30" s="46" t="s">
        <v>2850</v>
      </c>
      <c r="D30" s="46" t="s">
        <v>634</v>
      </c>
      <c r="E30" s="46" t="s">
        <v>2893</v>
      </c>
      <c r="F30" s="46" t="s">
        <v>2894</v>
      </c>
      <c r="G30" s="46" t="s">
        <v>2895</v>
      </c>
      <c r="H30" s="46" t="s">
        <v>2896</v>
      </c>
      <c r="I30" s="57"/>
      <c r="J30" s="46"/>
      <c r="K30" s="15"/>
    </row>
    <row r="31" spans="1:11" ht="27.75" customHeight="1">
      <c r="A31" s="46" t="s">
        <v>298</v>
      </c>
      <c r="B31" s="46" t="s">
        <v>48</v>
      </c>
      <c r="C31" s="46" t="s">
        <v>2850</v>
      </c>
      <c r="D31" s="46" t="s">
        <v>2860</v>
      </c>
      <c r="E31" s="46" t="s">
        <v>2897</v>
      </c>
      <c r="F31" s="46" t="s">
        <v>2898</v>
      </c>
      <c r="G31" s="46" t="s">
        <v>2899</v>
      </c>
      <c r="H31" s="46" t="s">
        <v>2900</v>
      </c>
      <c r="I31" s="57"/>
      <c r="J31" s="46"/>
      <c r="K31" s="15"/>
    </row>
    <row r="32" spans="1:11" ht="27.75" customHeight="1">
      <c r="A32" s="46" t="s">
        <v>303</v>
      </c>
      <c r="B32" s="46" t="s">
        <v>48</v>
      </c>
      <c r="C32" s="46" t="s">
        <v>2850</v>
      </c>
      <c r="D32" s="46" t="s">
        <v>2860</v>
      </c>
      <c r="E32" s="46" t="s">
        <v>2901</v>
      </c>
      <c r="F32" s="46" t="s">
        <v>2902</v>
      </c>
      <c r="G32" s="46" t="s">
        <v>2903</v>
      </c>
      <c r="H32" s="46" t="s">
        <v>2904</v>
      </c>
      <c r="I32" s="57"/>
      <c r="J32" s="46"/>
      <c r="K32" s="15"/>
    </row>
    <row r="33" spans="1:11" ht="27.75" customHeight="1">
      <c r="A33" s="46" t="s">
        <v>308</v>
      </c>
      <c r="B33" s="46" t="s">
        <v>48</v>
      </c>
      <c r="C33" s="46" t="s">
        <v>2850</v>
      </c>
      <c r="D33" s="46" t="s">
        <v>2905</v>
      </c>
      <c r="E33" s="46" t="s">
        <v>2906</v>
      </c>
      <c r="F33" s="46" t="s">
        <v>2907</v>
      </c>
      <c r="G33" s="46" t="s">
        <v>2908</v>
      </c>
      <c r="H33" s="46" t="s">
        <v>2909</v>
      </c>
      <c r="I33" s="57"/>
      <c r="J33" s="46"/>
      <c r="K33" s="15"/>
    </row>
    <row r="34" spans="1:11" ht="27.75" customHeight="1">
      <c r="A34" s="46" t="s">
        <v>313</v>
      </c>
      <c r="B34" s="46" t="s">
        <v>48</v>
      </c>
      <c r="C34" s="46" t="s">
        <v>2850</v>
      </c>
      <c r="D34" s="46" t="s">
        <v>2744</v>
      </c>
      <c r="E34" s="46" t="s">
        <v>2910</v>
      </c>
      <c r="F34" s="46" t="s">
        <v>2911</v>
      </c>
      <c r="G34" s="46" t="s">
        <v>2912</v>
      </c>
      <c r="H34" s="46" t="s">
        <v>2913</v>
      </c>
      <c r="I34" s="57"/>
      <c r="J34" s="46"/>
      <c r="K34" s="15"/>
    </row>
    <row r="35" spans="1:11" ht="27.75" customHeight="1">
      <c r="A35" s="46" t="s">
        <v>318</v>
      </c>
      <c r="B35" s="46" t="s">
        <v>48</v>
      </c>
      <c r="C35" s="46" t="s">
        <v>28</v>
      </c>
      <c r="D35" s="46" t="s">
        <v>2914</v>
      </c>
      <c r="E35" s="46" t="s">
        <v>2915</v>
      </c>
      <c r="F35" s="46" t="s">
        <v>2916</v>
      </c>
      <c r="G35" s="46" t="s">
        <v>2917</v>
      </c>
      <c r="H35" s="46" t="s">
        <v>2918</v>
      </c>
      <c r="I35" s="57"/>
      <c r="J35" s="46"/>
      <c r="K35" s="15"/>
    </row>
    <row r="36" spans="1:11" ht="27.75" customHeight="1">
      <c r="A36" s="46" t="s">
        <v>323</v>
      </c>
      <c r="B36" s="46" t="s">
        <v>48</v>
      </c>
      <c r="C36" s="46" t="s">
        <v>344</v>
      </c>
      <c r="D36" s="46" t="s">
        <v>2919</v>
      </c>
      <c r="E36" s="46" t="s">
        <v>2920</v>
      </c>
      <c r="F36" s="46" t="s">
        <v>2921</v>
      </c>
      <c r="G36" s="46" t="s">
        <v>2922</v>
      </c>
      <c r="H36" s="46" t="s">
        <v>2923</v>
      </c>
      <c r="I36" s="57"/>
      <c r="J36" s="46"/>
      <c r="K36" s="15"/>
    </row>
    <row r="37" spans="1:11" ht="27.75" customHeight="1">
      <c r="A37" s="46" t="s">
        <v>327</v>
      </c>
      <c r="B37" s="46" t="s">
        <v>48</v>
      </c>
      <c r="C37" s="46" t="s">
        <v>328</v>
      </c>
      <c r="D37" s="46" t="s">
        <v>2924</v>
      </c>
      <c r="E37" s="46" t="s">
        <v>2925</v>
      </c>
      <c r="F37" s="46" t="s">
        <v>2926</v>
      </c>
      <c r="G37" s="46" t="s">
        <v>2927</v>
      </c>
      <c r="H37" s="46" t="s">
        <v>2928</v>
      </c>
      <c r="I37" s="57"/>
      <c r="J37" s="46"/>
      <c r="K37" s="15"/>
    </row>
    <row r="38" spans="1:11" ht="27.75" customHeight="1">
      <c r="A38" s="46" t="s">
        <v>333</v>
      </c>
      <c r="B38" s="46" t="s">
        <v>48</v>
      </c>
      <c r="C38" s="46" t="s">
        <v>2929</v>
      </c>
      <c r="D38" s="46" t="s">
        <v>2744</v>
      </c>
      <c r="E38" s="46" t="s">
        <v>2930</v>
      </c>
      <c r="F38" s="46" t="s">
        <v>2931</v>
      </c>
      <c r="G38" s="46" t="s">
        <v>2932</v>
      </c>
      <c r="H38" s="46" t="s">
        <v>2933</v>
      </c>
      <c r="I38" s="57"/>
      <c r="J38" s="46"/>
      <c r="K38" s="15"/>
    </row>
    <row r="39" spans="1:11" ht="27.75" customHeight="1">
      <c r="A39" s="46" t="s">
        <v>338</v>
      </c>
      <c r="B39" s="46" t="s">
        <v>48</v>
      </c>
      <c r="C39" s="46" t="s">
        <v>2723</v>
      </c>
      <c r="D39" s="46" t="s">
        <v>2744</v>
      </c>
      <c r="E39" s="46" t="s">
        <v>2745</v>
      </c>
      <c r="F39" s="46" t="s">
        <v>2934</v>
      </c>
      <c r="G39" s="46" t="s">
        <v>2747</v>
      </c>
      <c r="H39" s="46" t="s">
        <v>2748</v>
      </c>
      <c r="I39" s="57"/>
      <c r="J39" s="46"/>
      <c r="K39" s="15"/>
    </row>
    <row r="40" spans="1:11" ht="27.75" customHeight="1">
      <c r="A40" s="46" t="s">
        <v>343</v>
      </c>
      <c r="B40" s="46" t="s">
        <v>48</v>
      </c>
      <c r="C40" s="46" t="s">
        <v>2723</v>
      </c>
      <c r="D40" s="46" t="s">
        <v>2723</v>
      </c>
      <c r="E40" s="46" t="s">
        <v>2935</v>
      </c>
      <c r="F40" s="46" t="s">
        <v>2936</v>
      </c>
      <c r="G40" s="46" t="s">
        <v>2937</v>
      </c>
      <c r="H40" s="46" t="s">
        <v>2938</v>
      </c>
      <c r="I40" s="57"/>
      <c r="J40" s="46"/>
      <c r="K40" s="15"/>
    </row>
    <row r="41" spans="1:11" ht="27.75" customHeight="1">
      <c r="A41" s="46" t="s">
        <v>349</v>
      </c>
      <c r="B41" s="46" t="s">
        <v>48</v>
      </c>
      <c r="C41" s="46" t="s">
        <v>328</v>
      </c>
      <c r="D41" s="46" t="s">
        <v>2939</v>
      </c>
      <c r="E41" s="46" t="s">
        <v>2940</v>
      </c>
      <c r="F41" s="46" t="s">
        <v>2941</v>
      </c>
      <c r="G41" s="46" t="s">
        <v>2942</v>
      </c>
      <c r="H41" s="46" t="s">
        <v>2943</v>
      </c>
      <c r="I41" s="57"/>
      <c r="J41" s="46"/>
      <c r="K41" s="15"/>
    </row>
    <row r="42" spans="1:11" ht="27.75" customHeight="1">
      <c r="A42" s="46" t="s">
        <v>354</v>
      </c>
      <c r="B42" s="46" t="s">
        <v>48</v>
      </c>
      <c r="C42" s="46" t="s">
        <v>328</v>
      </c>
      <c r="D42" s="46" t="s">
        <v>344</v>
      </c>
      <c r="E42" s="46" t="s">
        <v>2944</v>
      </c>
      <c r="F42" s="46" t="s">
        <v>2945</v>
      </c>
      <c r="G42" s="46" t="s">
        <v>2946</v>
      </c>
      <c r="H42" s="46" t="s">
        <v>2947</v>
      </c>
      <c r="I42" s="57"/>
      <c r="J42" s="46"/>
      <c r="K42" s="15"/>
    </row>
    <row r="43" spans="1:11" ht="27.75" customHeight="1">
      <c r="A43" s="46" t="s">
        <v>359</v>
      </c>
      <c r="B43" s="46" t="s">
        <v>48</v>
      </c>
      <c r="C43" s="46" t="s">
        <v>328</v>
      </c>
      <c r="D43" s="46" t="s">
        <v>2948</v>
      </c>
      <c r="E43" s="46" t="s">
        <v>2949</v>
      </c>
      <c r="F43" s="46" t="s">
        <v>2950</v>
      </c>
      <c r="G43" s="46" t="s">
        <v>2951</v>
      </c>
      <c r="H43" s="46" t="s">
        <v>2952</v>
      </c>
      <c r="I43" s="197"/>
      <c r="J43" s="46"/>
      <c r="K43" s="15"/>
    </row>
    <row r="44" spans="1:11" ht="27.75" customHeight="1">
      <c r="A44" s="46" t="s">
        <v>363</v>
      </c>
      <c r="B44" s="46" t="s">
        <v>48</v>
      </c>
      <c r="C44" s="46" t="s">
        <v>328</v>
      </c>
      <c r="D44" s="46" t="s">
        <v>2953</v>
      </c>
      <c r="E44" s="46" t="s">
        <v>2954</v>
      </c>
      <c r="F44" s="46" t="s">
        <v>2955</v>
      </c>
      <c r="G44" s="46" t="s">
        <v>2956</v>
      </c>
      <c r="H44" s="46" t="s">
        <v>2957</v>
      </c>
      <c r="I44" s="57"/>
      <c r="J44" s="46"/>
      <c r="K44" s="15"/>
    </row>
    <row r="45" spans="1:11" ht="27.75" customHeight="1">
      <c r="A45" s="46" t="s">
        <v>368</v>
      </c>
      <c r="B45" s="46" t="s">
        <v>48</v>
      </c>
      <c r="C45" s="46" t="s">
        <v>328</v>
      </c>
      <c r="D45" s="46" t="s">
        <v>2958</v>
      </c>
      <c r="E45" s="46" t="s">
        <v>2959</v>
      </c>
      <c r="F45" s="46" t="s">
        <v>2960</v>
      </c>
      <c r="G45" s="46" t="s">
        <v>2961</v>
      </c>
      <c r="H45" s="46" t="s">
        <v>2962</v>
      </c>
      <c r="I45" s="57"/>
      <c r="J45" s="56"/>
      <c r="K45" s="15"/>
    </row>
    <row r="46" spans="1:11" ht="27.75" customHeight="1">
      <c r="A46" s="46" t="s">
        <v>372</v>
      </c>
      <c r="B46" s="46" t="s">
        <v>48</v>
      </c>
      <c r="C46" s="46" t="s">
        <v>328</v>
      </c>
      <c r="D46" s="46" t="s">
        <v>2963</v>
      </c>
      <c r="E46" s="46" t="s">
        <v>2964</v>
      </c>
      <c r="F46" s="46" t="s">
        <v>2965</v>
      </c>
      <c r="G46" s="46" t="s">
        <v>2966</v>
      </c>
      <c r="H46" s="46" t="s">
        <v>2967</v>
      </c>
      <c r="I46" s="57"/>
      <c r="J46" s="46"/>
      <c r="K46" s="15"/>
    </row>
    <row r="47" spans="1:11" ht="27.75" customHeight="1">
      <c r="A47" s="46" t="s">
        <v>377</v>
      </c>
      <c r="B47" s="46" t="s">
        <v>48</v>
      </c>
      <c r="C47" s="46" t="s">
        <v>328</v>
      </c>
      <c r="D47" s="46" t="s">
        <v>2963</v>
      </c>
      <c r="E47" s="46" t="s">
        <v>2968</v>
      </c>
      <c r="F47" s="46" t="s">
        <v>2969</v>
      </c>
      <c r="G47" s="46" t="s">
        <v>2970</v>
      </c>
      <c r="H47" s="46" t="s">
        <v>2971</v>
      </c>
      <c r="I47" s="57"/>
      <c r="J47" s="46"/>
      <c r="K47" s="15"/>
    </row>
    <row r="48" spans="1:11" ht="27.75" customHeight="1">
      <c r="A48" s="46" t="s">
        <v>382</v>
      </c>
      <c r="B48" s="46" t="s">
        <v>48</v>
      </c>
      <c r="C48" s="46" t="s">
        <v>328</v>
      </c>
      <c r="D48" s="46" t="s">
        <v>634</v>
      </c>
      <c r="E48" s="46" t="s">
        <v>2972</v>
      </c>
      <c r="F48" s="46" t="s">
        <v>2973</v>
      </c>
      <c r="G48" s="46" t="s">
        <v>2974</v>
      </c>
      <c r="H48" s="46" t="s">
        <v>2975</v>
      </c>
      <c r="I48" s="57"/>
      <c r="J48" s="46"/>
      <c r="K48" s="15"/>
    </row>
    <row r="49" spans="1:11" ht="27.75" customHeight="1">
      <c r="A49" s="46" t="s">
        <v>386</v>
      </c>
      <c r="B49" s="46" t="s">
        <v>48</v>
      </c>
      <c r="C49" s="46" t="s">
        <v>28</v>
      </c>
      <c r="D49" s="46" t="s">
        <v>2976</v>
      </c>
      <c r="E49" s="46" t="s">
        <v>2977</v>
      </c>
      <c r="F49" s="46" t="s">
        <v>2978</v>
      </c>
      <c r="G49" s="46" t="s">
        <v>2979</v>
      </c>
      <c r="H49" s="46"/>
      <c r="I49" s="57"/>
      <c r="J49" s="58"/>
      <c r="K49" s="15"/>
    </row>
    <row r="50" spans="1:11" ht="27.75" customHeight="1">
      <c r="A50" s="46" t="s">
        <v>390</v>
      </c>
      <c r="B50" s="46" t="s">
        <v>48</v>
      </c>
      <c r="C50" s="46" t="s">
        <v>28</v>
      </c>
      <c r="D50" s="46" t="s">
        <v>2976</v>
      </c>
      <c r="E50" s="46" t="s">
        <v>2980</v>
      </c>
      <c r="F50" s="46" t="s">
        <v>2981</v>
      </c>
      <c r="G50" s="46" t="s">
        <v>2982</v>
      </c>
      <c r="H50" s="167" t="s">
        <v>2983</v>
      </c>
      <c r="I50" s="57"/>
      <c r="J50" s="58"/>
      <c r="K50" s="15"/>
    </row>
    <row r="51" spans="1:11" ht="27.75" customHeight="1">
      <c r="A51" s="46" t="s">
        <v>394</v>
      </c>
      <c r="B51" s="46" t="s">
        <v>48</v>
      </c>
      <c r="C51" s="46" t="s">
        <v>28</v>
      </c>
      <c r="D51" s="46" t="s">
        <v>2976</v>
      </c>
      <c r="E51" s="46" t="s">
        <v>2984</v>
      </c>
      <c r="F51" s="46" t="s">
        <v>2985</v>
      </c>
      <c r="G51" s="46" t="s">
        <v>2982</v>
      </c>
      <c r="H51" s="46"/>
      <c r="I51" s="57"/>
      <c r="J51" s="59"/>
      <c r="K51" s="15"/>
    </row>
    <row r="52" spans="1:11" ht="27.75" customHeight="1">
      <c r="A52" s="46" t="s">
        <v>398</v>
      </c>
      <c r="B52" s="46" t="s">
        <v>48</v>
      </c>
      <c r="C52" s="46" t="s">
        <v>28</v>
      </c>
      <c r="D52" s="46" t="s">
        <v>2986</v>
      </c>
      <c r="E52" s="46" t="s">
        <v>2987</v>
      </c>
      <c r="F52" s="46" t="s">
        <v>2988</v>
      </c>
      <c r="G52" s="46" t="s">
        <v>2989</v>
      </c>
      <c r="H52" s="46"/>
      <c r="I52" s="57"/>
      <c r="J52" s="58"/>
      <c r="K52" s="15"/>
    </row>
    <row r="53" spans="1:11" ht="27.75" customHeight="1">
      <c r="A53" s="46" t="s">
        <v>401</v>
      </c>
      <c r="B53" s="46" t="s">
        <v>48</v>
      </c>
      <c r="C53" s="46" t="s">
        <v>28</v>
      </c>
      <c r="D53" s="46" t="s">
        <v>2986</v>
      </c>
      <c r="E53" s="46" t="s">
        <v>2990</v>
      </c>
      <c r="F53" s="46" t="s">
        <v>2991</v>
      </c>
      <c r="G53" s="46" t="s">
        <v>2992</v>
      </c>
      <c r="H53" s="46"/>
      <c r="I53" s="57"/>
      <c r="J53" s="58"/>
      <c r="K53" s="15"/>
    </row>
    <row r="54" spans="1:11" ht="27.75" customHeight="1">
      <c r="A54" s="46" t="s">
        <v>404</v>
      </c>
      <c r="B54" s="46" t="s">
        <v>48</v>
      </c>
      <c r="C54" s="46" t="s">
        <v>28</v>
      </c>
      <c r="D54" s="46" t="s">
        <v>2986</v>
      </c>
      <c r="E54" s="46" t="s">
        <v>2993</v>
      </c>
      <c r="F54" s="46" t="s">
        <v>2994</v>
      </c>
      <c r="G54" s="46" t="s">
        <v>2995</v>
      </c>
      <c r="H54" s="46"/>
      <c r="I54" s="60"/>
      <c r="J54" s="61"/>
      <c r="K54" s="15"/>
    </row>
    <row r="55" spans="1:11" ht="27.75" customHeight="1">
      <c r="A55" s="46" t="s">
        <v>407</v>
      </c>
      <c r="B55" s="43" t="s">
        <v>48</v>
      </c>
      <c r="C55" s="43" t="s">
        <v>28</v>
      </c>
      <c r="D55" s="43" t="s">
        <v>2996</v>
      </c>
      <c r="E55" s="43" t="s">
        <v>2997</v>
      </c>
      <c r="F55" s="43" t="s">
        <v>2998</v>
      </c>
      <c r="G55" s="43" t="s">
        <v>2999</v>
      </c>
      <c r="H55" s="43"/>
      <c r="I55" s="57"/>
      <c r="J55" s="58"/>
      <c r="K55" s="15"/>
    </row>
    <row r="56" spans="1:11" ht="27.75" customHeight="1">
      <c r="A56" s="46" t="s">
        <v>411</v>
      </c>
      <c r="B56" s="46" t="s">
        <v>48</v>
      </c>
      <c r="C56" s="43" t="s">
        <v>3000</v>
      </c>
      <c r="D56" s="43" t="s">
        <v>1063</v>
      </c>
      <c r="E56" s="43" t="s">
        <v>3001</v>
      </c>
      <c r="F56" s="46" t="s">
        <v>3002</v>
      </c>
      <c r="G56" s="43" t="s">
        <v>3003</v>
      </c>
      <c r="H56" s="43"/>
      <c r="I56" s="57"/>
      <c r="J56" s="58"/>
      <c r="K56" s="15"/>
    </row>
    <row r="57" spans="1:11" ht="27.75" customHeight="1">
      <c r="A57" s="46" t="s">
        <v>414</v>
      </c>
      <c r="B57" s="43" t="s">
        <v>48</v>
      </c>
      <c r="C57" s="43" t="s">
        <v>3004</v>
      </c>
      <c r="D57" s="43" t="s">
        <v>3004</v>
      </c>
      <c r="E57" s="43" t="s">
        <v>3005</v>
      </c>
      <c r="F57" s="43" t="s">
        <v>3006</v>
      </c>
      <c r="G57" s="43" t="s">
        <v>3007</v>
      </c>
      <c r="H57" s="43"/>
      <c r="I57" s="57"/>
      <c r="J57" s="58"/>
      <c r="K57" s="15"/>
    </row>
    <row r="58" spans="1:11" ht="27.75" customHeight="1">
      <c r="A58" s="46" t="s">
        <v>419</v>
      </c>
      <c r="B58" s="42" t="s">
        <v>48</v>
      </c>
      <c r="C58" s="42" t="s">
        <v>28</v>
      </c>
      <c r="D58" s="42" t="s">
        <v>765</v>
      </c>
      <c r="E58" s="42" t="s">
        <v>766</v>
      </c>
      <c r="F58" s="43" t="s">
        <v>3008</v>
      </c>
      <c r="G58" s="43" t="s">
        <v>768</v>
      </c>
      <c r="H58" s="43" t="s">
        <v>3009</v>
      </c>
      <c r="I58" s="196"/>
      <c r="J58" s="43"/>
      <c r="K58" s="15"/>
    </row>
    <row r="59" spans="1:11" ht="27.75" customHeight="1">
      <c r="A59" s="46" t="s">
        <v>424</v>
      </c>
      <c r="B59" s="43" t="s">
        <v>48</v>
      </c>
      <c r="C59" s="43" t="s">
        <v>328</v>
      </c>
      <c r="D59" s="43" t="s">
        <v>634</v>
      </c>
      <c r="E59" s="43" t="s">
        <v>3010</v>
      </c>
      <c r="F59" s="43" t="s">
        <v>3011</v>
      </c>
      <c r="G59" s="43" t="s">
        <v>3012</v>
      </c>
      <c r="H59" s="43" t="s">
        <v>3013</v>
      </c>
      <c r="I59" s="120"/>
      <c r="J59" s="43"/>
      <c r="K59" s="15"/>
    </row>
    <row r="60" spans="1:11" ht="27.75" customHeight="1">
      <c r="A60" s="46" t="s">
        <v>429</v>
      </c>
      <c r="B60" s="15" t="s">
        <v>48</v>
      </c>
      <c r="C60" s="15" t="s">
        <v>3014</v>
      </c>
      <c r="D60" s="15" t="s">
        <v>3015</v>
      </c>
      <c r="E60" s="15" t="s">
        <v>3016</v>
      </c>
      <c r="F60" s="15" t="s">
        <v>3017</v>
      </c>
      <c r="G60" s="15" t="s">
        <v>3018</v>
      </c>
      <c r="H60" s="15"/>
      <c r="I60" s="6"/>
      <c r="J60" s="37"/>
      <c r="K60" s="15"/>
    </row>
    <row r="61" spans="1:11" ht="27.75" customHeight="1">
      <c r="A61" s="46" t="s">
        <v>434</v>
      </c>
      <c r="B61" s="15" t="s">
        <v>48</v>
      </c>
      <c r="C61" s="15" t="s">
        <v>3014</v>
      </c>
      <c r="D61" s="15" t="s">
        <v>3019</v>
      </c>
      <c r="E61" s="15" t="s">
        <v>3020</v>
      </c>
      <c r="F61" s="15" t="s">
        <v>3021</v>
      </c>
      <c r="G61" s="15" t="s">
        <v>3022</v>
      </c>
      <c r="H61" s="15"/>
      <c r="I61" s="6"/>
      <c r="J61" s="37"/>
      <c r="K61" s="15"/>
    </row>
    <row r="62" spans="1:11" ht="27.75" customHeight="1">
      <c r="A62" s="46" t="s">
        <v>439</v>
      </c>
      <c r="B62" s="15" t="s">
        <v>48</v>
      </c>
      <c r="C62" s="15" t="s">
        <v>3014</v>
      </c>
      <c r="D62" s="15" t="s">
        <v>3019</v>
      </c>
      <c r="E62" s="15" t="s">
        <v>3023</v>
      </c>
      <c r="F62" s="15" t="s">
        <v>3024</v>
      </c>
      <c r="G62" s="4" t="s">
        <v>3025</v>
      </c>
      <c r="H62" s="15"/>
      <c r="I62" s="6"/>
      <c r="J62" s="37"/>
      <c r="K62" s="15"/>
    </row>
    <row r="63" spans="1:11" ht="27.75" customHeight="1">
      <c r="A63" s="46" t="s">
        <v>443</v>
      </c>
      <c r="B63" s="15" t="s">
        <v>48</v>
      </c>
      <c r="C63" s="15" t="s">
        <v>3014</v>
      </c>
      <c r="D63" s="15" t="s">
        <v>3026</v>
      </c>
      <c r="E63" s="15" t="s">
        <v>3027</v>
      </c>
      <c r="F63" s="15" t="s">
        <v>3028</v>
      </c>
      <c r="G63" s="15" t="s">
        <v>3029</v>
      </c>
      <c r="H63" s="15"/>
      <c r="I63" s="6"/>
      <c r="J63" s="37"/>
      <c r="K63" s="15"/>
    </row>
    <row r="64" spans="1:11" ht="27.75" customHeight="1">
      <c r="A64" s="46" t="s">
        <v>447</v>
      </c>
      <c r="B64" s="15" t="s">
        <v>48</v>
      </c>
      <c r="C64" s="15" t="s">
        <v>3014</v>
      </c>
      <c r="D64" s="15" t="s">
        <v>3030</v>
      </c>
      <c r="E64" s="15" t="s">
        <v>3031</v>
      </c>
      <c r="F64" s="15" t="s">
        <v>3032</v>
      </c>
      <c r="G64" s="15" t="s">
        <v>3033</v>
      </c>
      <c r="H64" s="15"/>
      <c r="I64" s="6"/>
      <c r="J64" s="37"/>
      <c r="K64" s="15"/>
    </row>
    <row r="65" spans="1:11" ht="27.75" customHeight="1">
      <c r="A65" s="46" t="s">
        <v>451</v>
      </c>
      <c r="B65" s="15" t="s">
        <v>48</v>
      </c>
      <c r="C65" s="15" t="s">
        <v>3014</v>
      </c>
      <c r="D65" s="15" t="s">
        <v>3034</v>
      </c>
      <c r="E65" s="15" t="s">
        <v>3035</v>
      </c>
      <c r="F65" s="15" t="s">
        <v>3036</v>
      </c>
      <c r="G65" s="15" t="s">
        <v>3037</v>
      </c>
      <c r="H65" s="15"/>
      <c r="I65" s="6"/>
      <c r="J65" s="37"/>
      <c r="K65" s="15"/>
    </row>
    <row r="66" spans="1:11" ht="27.75" customHeight="1">
      <c r="A66" s="46" t="s">
        <v>455</v>
      </c>
      <c r="B66" s="15" t="s">
        <v>48</v>
      </c>
      <c r="C66" s="15" t="s">
        <v>3014</v>
      </c>
      <c r="D66" s="15" t="s">
        <v>3038</v>
      </c>
      <c r="E66" s="15" t="s">
        <v>3039</v>
      </c>
      <c r="F66" s="15" t="s">
        <v>3040</v>
      </c>
      <c r="G66" s="15" t="s">
        <v>3041</v>
      </c>
      <c r="H66" s="15"/>
      <c r="I66" s="6"/>
      <c r="J66" s="37"/>
      <c r="K66" s="15"/>
    </row>
    <row r="67" spans="1:11" ht="27.75" customHeight="1">
      <c r="A67" s="46" t="s">
        <v>459</v>
      </c>
      <c r="B67" s="15" t="s">
        <v>48</v>
      </c>
      <c r="C67" s="15" t="s">
        <v>3014</v>
      </c>
      <c r="D67" s="15" t="s">
        <v>3042</v>
      </c>
      <c r="E67" s="15" t="s">
        <v>3043</v>
      </c>
      <c r="F67" s="15" t="s">
        <v>3044</v>
      </c>
      <c r="G67" s="15" t="s">
        <v>3045</v>
      </c>
      <c r="H67" s="15"/>
      <c r="I67" s="6"/>
      <c r="J67" s="37"/>
      <c r="K67" s="15"/>
    </row>
    <row r="68" spans="1:11" ht="27.75" customHeight="1">
      <c r="A68" s="46" t="s">
        <v>465</v>
      </c>
      <c r="B68" s="15" t="s">
        <v>48</v>
      </c>
      <c r="C68" s="15" t="s">
        <v>3014</v>
      </c>
      <c r="D68" s="15" t="s">
        <v>3046</v>
      </c>
      <c r="E68" s="15" t="s">
        <v>3047</v>
      </c>
      <c r="F68" s="15" t="s">
        <v>3048</v>
      </c>
      <c r="G68" s="15" t="s">
        <v>3049</v>
      </c>
      <c r="H68" s="15"/>
      <c r="I68" s="6"/>
      <c r="J68" s="37"/>
      <c r="K68" s="15"/>
    </row>
    <row r="69" spans="1:11" ht="27.75" customHeight="1">
      <c r="A69" s="46" t="s">
        <v>774</v>
      </c>
      <c r="B69" s="15" t="s">
        <v>48</v>
      </c>
      <c r="C69" s="15" t="s">
        <v>3014</v>
      </c>
      <c r="D69" s="15" t="s">
        <v>3050</v>
      </c>
      <c r="E69" s="15" t="s">
        <v>3051</v>
      </c>
      <c r="F69" s="15" t="s">
        <v>3052</v>
      </c>
      <c r="G69" s="15" t="s">
        <v>3053</v>
      </c>
      <c r="H69" s="15"/>
      <c r="I69" s="6"/>
      <c r="J69" s="37"/>
      <c r="K69" s="15"/>
    </row>
    <row r="70" spans="1:11" ht="27.75" customHeight="1">
      <c r="A70" s="46" t="s">
        <v>471</v>
      </c>
      <c r="B70" s="15" t="s">
        <v>48</v>
      </c>
      <c r="C70" s="15" t="s">
        <v>3014</v>
      </c>
      <c r="D70" s="15" t="s">
        <v>3054</v>
      </c>
      <c r="E70" s="15" t="s">
        <v>3055</v>
      </c>
      <c r="F70" s="15" t="s">
        <v>3056</v>
      </c>
      <c r="G70" s="15" t="s">
        <v>3057</v>
      </c>
      <c r="H70" s="15"/>
      <c r="I70" s="6"/>
      <c r="J70" s="37"/>
      <c r="K70" s="15"/>
    </row>
    <row r="71" spans="1:11" ht="27.75" customHeight="1">
      <c r="A71" s="46" t="s">
        <v>475</v>
      </c>
      <c r="B71" s="63" t="s">
        <v>48</v>
      </c>
      <c r="C71" s="63" t="s">
        <v>3014</v>
      </c>
      <c r="D71" s="63" t="s">
        <v>3058</v>
      </c>
      <c r="E71" s="63" t="s">
        <v>3059</v>
      </c>
      <c r="F71" s="63" t="s">
        <v>3060</v>
      </c>
      <c r="G71" s="63" t="s">
        <v>3061</v>
      </c>
      <c r="H71" s="63"/>
      <c r="I71" s="65"/>
      <c r="J71" s="66"/>
      <c r="K71" s="63"/>
    </row>
    <row r="72" spans="1:11" ht="27.75" customHeight="1">
      <c r="A72" s="46" t="s">
        <v>479</v>
      </c>
      <c r="B72" s="15" t="s">
        <v>48</v>
      </c>
      <c r="C72" s="15" t="s">
        <v>3014</v>
      </c>
      <c r="D72" s="15" t="s">
        <v>3062</v>
      </c>
      <c r="E72" s="15" t="s">
        <v>3063</v>
      </c>
      <c r="F72" s="15" t="s">
        <v>3064</v>
      </c>
      <c r="G72" s="15" t="s">
        <v>3065</v>
      </c>
      <c r="H72" s="168" t="s">
        <v>3066</v>
      </c>
      <c r="I72" s="6"/>
      <c r="J72" s="37"/>
      <c r="K72" s="15"/>
    </row>
    <row r="73" spans="1:11" ht="27.75" customHeight="1">
      <c r="A73" s="46" t="s">
        <v>483</v>
      </c>
      <c r="B73" s="15" t="s">
        <v>48</v>
      </c>
      <c r="C73" s="15" t="s">
        <v>3067</v>
      </c>
      <c r="D73" s="15" t="s">
        <v>2773</v>
      </c>
      <c r="E73" s="15" t="s">
        <v>3068</v>
      </c>
      <c r="F73" s="15" t="s">
        <v>3069</v>
      </c>
      <c r="G73" s="15" t="s">
        <v>3070</v>
      </c>
      <c r="H73" s="15"/>
      <c r="I73" s="6"/>
      <c r="J73" s="37"/>
      <c r="K73" s="15"/>
    </row>
    <row r="74" spans="1:11" ht="27.75" customHeight="1">
      <c r="A74" s="46" t="s">
        <v>796</v>
      </c>
      <c r="B74" s="64" t="s">
        <v>48</v>
      </c>
      <c r="C74" s="64" t="s">
        <v>28</v>
      </c>
      <c r="D74" s="64" t="s">
        <v>2986</v>
      </c>
      <c r="E74" s="64" t="s">
        <v>3071</v>
      </c>
      <c r="F74" s="64" t="s">
        <v>3072</v>
      </c>
      <c r="G74" s="64" t="s">
        <v>3073</v>
      </c>
      <c r="H74" s="64"/>
      <c r="I74" s="67"/>
      <c r="J74" s="68"/>
      <c r="K74" s="63"/>
    </row>
    <row r="75" spans="1:11" ht="27.75" customHeight="1">
      <c r="A75" s="46" t="s">
        <v>801</v>
      </c>
      <c r="B75" s="46" t="s">
        <v>48</v>
      </c>
      <c r="C75" s="46" t="s">
        <v>28</v>
      </c>
      <c r="D75" s="15" t="s">
        <v>3074</v>
      </c>
      <c r="E75" s="15" t="s">
        <v>3075</v>
      </c>
      <c r="F75" s="46" t="s">
        <v>3076</v>
      </c>
      <c r="G75" s="46" t="s">
        <v>3077</v>
      </c>
      <c r="H75" s="63"/>
      <c r="I75" s="221"/>
      <c r="J75" s="222"/>
      <c r="K75" s="63"/>
    </row>
    <row r="76" spans="1:11" ht="27.75" customHeight="1">
      <c r="A76" s="46" t="s">
        <v>806</v>
      </c>
      <c r="B76" s="70" t="s">
        <v>48</v>
      </c>
      <c r="C76" s="70" t="s">
        <v>2723</v>
      </c>
      <c r="D76" s="70" t="s">
        <v>2759</v>
      </c>
      <c r="E76" s="70" t="s">
        <v>2760</v>
      </c>
      <c r="F76" s="70" t="s">
        <v>2761</v>
      </c>
      <c r="G76" s="218" t="s">
        <v>2762</v>
      </c>
      <c r="H76" s="70" t="s">
        <v>2763</v>
      </c>
      <c r="I76" s="69"/>
      <c r="J76" s="70"/>
      <c r="K76" s="15"/>
    </row>
    <row r="77" spans="1:11" ht="27.75" customHeight="1">
      <c r="A77" s="46" t="s">
        <v>811</v>
      </c>
      <c r="B77" s="70" t="s">
        <v>48</v>
      </c>
      <c r="C77" s="70" t="s">
        <v>328</v>
      </c>
      <c r="D77" s="70" t="s">
        <v>2919</v>
      </c>
      <c r="E77" s="70" t="s">
        <v>3078</v>
      </c>
      <c r="F77" s="70" t="s">
        <v>3079</v>
      </c>
      <c r="G77" s="218" t="s">
        <v>3080</v>
      </c>
      <c r="H77" s="70" t="s">
        <v>3081</v>
      </c>
      <c r="I77" s="196"/>
      <c r="J77" s="43"/>
      <c r="K77" s="15"/>
    </row>
    <row r="78" spans="1:11" ht="27.75" customHeight="1">
      <c r="A78" s="46" t="s">
        <v>816</v>
      </c>
      <c r="B78" s="70" t="s">
        <v>48</v>
      </c>
      <c r="C78" s="70" t="s">
        <v>2723</v>
      </c>
      <c r="D78" s="70" t="s">
        <v>2724</v>
      </c>
      <c r="E78" s="70" t="s">
        <v>2725</v>
      </c>
      <c r="F78" s="70" t="s">
        <v>2726</v>
      </c>
      <c r="G78" s="218" t="s">
        <v>2727</v>
      </c>
      <c r="H78" s="70" t="s">
        <v>2728</v>
      </c>
      <c r="I78" s="196"/>
      <c r="J78" s="43"/>
      <c r="K78" s="15"/>
    </row>
    <row r="79" spans="1:11" ht="27.75" customHeight="1">
      <c r="A79" s="46" t="s">
        <v>821</v>
      </c>
      <c r="B79" s="70" t="s">
        <v>48</v>
      </c>
      <c r="C79" s="70" t="s">
        <v>2723</v>
      </c>
      <c r="D79" s="70" t="s">
        <v>2739</v>
      </c>
      <c r="E79" s="70" t="s">
        <v>2740</v>
      </c>
      <c r="F79" s="70" t="s">
        <v>2741</v>
      </c>
      <c r="G79" s="218" t="s">
        <v>2742</v>
      </c>
      <c r="H79" s="70" t="s">
        <v>2743</v>
      </c>
      <c r="I79" s="196"/>
      <c r="J79" s="43"/>
      <c r="K79" s="15"/>
    </row>
    <row r="80" spans="1:11" ht="27.75" customHeight="1">
      <c r="A80" s="46" t="s">
        <v>826</v>
      </c>
      <c r="B80" s="70" t="s">
        <v>48</v>
      </c>
      <c r="C80" s="70" t="s">
        <v>2723</v>
      </c>
      <c r="D80" s="70" t="s">
        <v>2749</v>
      </c>
      <c r="E80" s="70" t="s">
        <v>2750</v>
      </c>
      <c r="F80" s="70" t="s">
        <v>2751</v>
      </c>
      <c r="G80" s="218" t="s">
        <v>2752</v>
      </c>
      <c r="H80" s="70" t="s">
        <v>2753</v>
      </c>
      <c r="I80" s="196"/>
      <c r="J80" s="43"/>
      <c r="K80" s="15"/>
    </row>
    <row r="81" spans="1:11" ht="27.75" customHeight="1">
      <c r="A81" s="46" t="s">
        <v>1205</v>
      </c>
      <c r="B81" s="70" t="s">
        <v>48</v>
      </c>
      <c r="C81" s="70" t="s">
        <v>2723</v>
      </c>
      <c r="D81" s="70" t="s">
        <v>2734</v>
      </c>
      <c r="E81" s="70" t="s">
        <v>2735</v>
      </c>
      <c r="F81" s="70" t="s">
        <v>2736</v>
      </c>
      <c r="G81" s="218" t="s">
        <v>2737</v>
      </c>
      <c r="H81" s="70" t="s">
        <v>2738</v>
      </c>
      <c r="I81" s="196"/>
      <c r="J81" s="43"/>
      <c r="K81" s="15"/>
    </row>
    <row r="82" spans="1:11" ht="27.75" customHeight="1">
      <c r="A82" s="46" t="s">
        <v>1211</v>
      </c>
      <c r="B82" s="70" t="s">
        <v>48</v>
      </c>
      <c r="C82" s="70" t="s">
        <v>2723</v>
      </c>
      <c r="D82" s="70" t="s">
        <v>2729</v>
      </c>
      <c r="E82" s="70" t="s">
        <v>2730</v>
      </c>
      <c r="F82" s="70" t="s">
        <v>2731</v>
      </c>
      <c r="G82" s="218" t="s">
        <v>2732</v>
      </c>
      <c r="H82" s="70" t="s">
        <v>2733</v>
      </c>
      <c r="I82" s="196"/>
      <c r="J82" s="43"/>
      <c r="K82" s="15"/>
    </row>
    <row r="83" spans="1:11" ht="27.75" customHeight="1">
      <c r="A83" s="46" t="s">
        <v>1217</v>
      </c>
      <c r="B83" s="70" t="s">
        <v>48</v>
      </c>
      <c r="C83" s="70" t="s">
        <v>2723</v>
      </c>
      <c r="D83" s="70" t="s">
        <v>2754</v>
      </c>
      <c r="E83" s="70" t="s">
        <v>2755</v>
      </c>
      <c r="F83" s="70" t="s">
        <v>2756</v>
      </c>
      <c r="G83" s="218" t="s">
        <v>2757</v>
      </c>
      <c r="H83" s="70" t="s">
        <v>2758</v>
      </c>
      <c r="I83" s="196"/>
      <c r="J83" s="43"/>
      <c r="K83" s="15"/>
    </row>
    <row r="84" spans="1:11" ht="27.75" customHeight="1">
      <c r="A84" s="46" t="s">
        <v>1223</v>
      </c>
      <c r="B84" s="162" t="s">
        <v>48</v>
      </c>
      <c r="C84" s="46" t="s">
        <v>328</v>
      </c>
      <c r="D84" s="163" t="s">
        <v>3082</v>
      </c>
      <c r="E84" s="164" t="s">
        <v>3083</v>
      </c>
      <c r="F84" s="170" t="s">
        <v>3084</v>
      </c>
      <c r="G84" s="219" t="s">
        <v>3085</v>
      </c>
      <c r="H84" s="210" t="s">
        <v>3086</v>
      </c>
      <c r="I84" s="122"/>
      <c r="J84" s="203"/>
      <c r="K84" s="203"/>
    </row>
    <row r="85" spans="1:11" ht="27.75" customHeight="1">
      <c r="A85" s="46" t="s">
        <v>1229</v>
      </c>
      <c r="B85" s="162" t="s">
        <v>48</v>
      </c>
      <c r="C85" s="46" t="s">
        <v>328</v>
      </c>
      <c r="D85" s="163" t="s">
        <v>1074</v>
      </c>
      <c r="E85" s="164" t="s">
        <v>3087</v>
      </c>
      <c r="F85" s="170" t="s">
        <v>3088</v>
      </c>
      <c r="G85" s="220" t="s">
        <v>3089</v>
      </c>
      <c r="H85" s="217" t="s">
        <v>3090</v>
      </c>
      <c r="I85" s="122"/>
      <c r="J85" s="203"/>
      <c r="K85" s="203"/>
    </row>
    <row r="86" spans="1:11" ht="27.75" customHeight="1">
      <c r="A86" s="46" t="s">
        <v>1234</v>
      </c>
      <c r="B86" s="162" t="s">
        <v>48</v>
      </c>
      <c r="C86" s="46" t="s">
        <v>328</v>
      </c>
      <c r="D86" s="163" t="s">
        <v>1090</v>
      </c>
      <c r="E86" s="164" t="s">
        <v>3091</v>
      </c>
      <c r="F86" s="170" t="s">
        <v>3092</v>
      </c>
      <c r="G86" s="220" t="s">
        <v>3093</v>
      </c>
      <c r="H86" s="217" t="s">
        <v>3094</v>
      </c>
      <c r="I86" s="122"/>
      <c r="J86" s="203"/>
      <c r="K86" s="203"/>
    </row>
    <row r="87" spans="1:11" ht="27.75" customHeight="1">
      <c r="A87" s="162" t="s">
        <v>1410</v>
      </c>
      <c r="B87" s="162" t="s">
        <v>48</v>
      </c>
      <c r="C87" s="46" t="s">
        <v>328</v>
      </c>
      <c r="D87" s="163" t="s">
        <v>3095</v>
      </c>
      <c r="E87" s="164" t="s">
        <v>3096</v>
      </c>
      <c r="F87" s="170" t="s">
        <v>3097</v>
      </c>
      <c r="G87" s="220" t="s">
        <v>3098</v>
      </c>
      <c r="H87" s="217" t="s">
        <v>3099</v>
      </c>
      <c r="I87" s="122"/>
      <c r="J87" s="203"/>
      <c r="K87" s="20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03"/>
  <sheetViews>
    <sheetView topLeftCell="F1" zoomScale="90" zoomScaleNormal="90" workbookViewId="0">
      <pane ySplit="1" topLeftCell="A88" activePane="bottomLeft" state="frozen"/>
      <selection pane="bottomLeft" activeCell="J2" sqref="J2:J103"/>
    </sheetView>
  </sheetViews>
  <sheetFormatPr defaultColWidth="6.42578125" defaultRowHeight="21" customHeight="1"/>
  <cols>
    <col min="1" max="1" width="6.42578125" style="281" customWidth="1"/>
    <col min="2" max="2" width="12.42578125" style="281" customWidth="1"/>
    <col min="3" max="3" width="14.28515625" style="281" customWidth="1"/>
    <col min="4" max="4" width="18.5703125" style="281" customWidth="1"/>
    <col min="5" max="5" width="41" style="276" customWidth="1"/>
    <col min="6" max="6" width="28.7109375" style="281" customWidth="1"/>
    <col min="7" max="7" width="19.85546875" style="281" customWidth="1"/>
    <col min="8" max="8" width="23.140625" style="281" customWidth="1"/>
    <col min="9" max="9" width="19.85546875" style="275" customWidth="1"/>
    <col min="10" max="10" width="19.85546875" style="277" customWidth="1"/>
    <col min="11" max="16" width="6.42578125" style="281" customWidth="1"/>
    <col min="17" max="16384" width="6.42578125" style="281"/>
  </cols>
  <sheetData>
    <row r="1" spans="1:10" s="277" customFormat="1" ht="21" customHeight="1">
      <c r="A1" s="140" t="s">
        <v>37</v>
      </c>
      <c r="B1" s="140" t="s">
        <v>38</v>
      </c>
      <c r="C1" s="140" t="s">
        <v>39</v>
      </c>
      <c r="D1" s="140" t="s">
        <v>40</v>
      </c>
      <c r="E1" s="49" t="s">
        <v>41</v>
      </c>
      <c r="F1" s="49" t="s">
        <v>42</v>
      </c>
      <c r="G1" s="50" t="s">
        <v>176</v>
      </c>
      <c r="H1" s="26" t="s">
        <v>44</v>
      </c>
      <c r="I1" s="138" t="s">
        <v>45</v>
      </c>
      <c r="J1" s="135" t="s">
        <v>46</v>
      </c>
    </row>
    <row r="2" spans="1:10" ht="21" customHeight="1">
      <c r="A2" s="278" t="s">
        <v>47</v>
      </c>
      <c r="B2" s="278" t="s">
        <v>48</v>
      </c>
      <c r="C2" s="278" t="s">
        <v>29</v>
      </c>
      <c r="D2" s="278" t="s">
        <v>3100</v>
      </c>
      <c r="E2" s="279" t="s">
        <v>3101</v>
      </c>
      <c r="F2" s="279" t="s">
        <v>3102</v>
      </c>
      <c r="G2" s="279" t="s">
        <v>3103</v>
      </c>
      <c r="H2" s="29" t="s">
        <v>3104</v>
      </c>
      <c r="I2" s="280"/>
      <c r="J2" s="279"/>
    </row>
    <row r="3" spans="1:10" ht="21" customHeight="1">
      <c r="A3" s="278" t="s">
        <v>55</v>
      </c>
      <c r="B3" s="278" t="s">
        <v>48</v>
      </c>
      <c r="C3" s="278" t="s">
        <v>29</v>
      </c>
      <c r="D3" s="278" t="s">
        <v>3100</v>
      </c>
      <c r="E3" s="279" t="s">
        <v>3105</v>
      </c>
      <c r="F3" s="279" t="s">
        <v>3106</v>
      </c>
      <c r="G3" s="279" t="s">
        <v>3107</v>
      </c>
      <c r="H3" s="29" t="s">
        <v>3108</v>
      </c>
      <c r="I3" s="280"/>
      <c r="J3" s="282"/>
    </row>
    <row r="4" spans="1:10" ht="21" customHeight="1">
      <c r="A4" s="278" t="s">
        <v>60</v>
      </c>
      <c r="B4" s="278" t="s">
        <v>48</v>
      </c>
      <c r="C4" s="278" t="s">
        <v>29</v>
      </c>
      <c r="D4" s="278" t="s">
        <v>3100</v>
      </c>
      <c r="E4" s="279" t="s">
        <v>3109</v>
      </c>
      <c r="F4" s="279" t="s">
        <v>3110</v>
      </c>
      <c r="G4" s="279" t="s">
        <v>3111</v>
      </c>
      <c r="H4" s="29" t="s">
        <v>3112</v>
      </c>
      <c r="I4" s="280"/>
      <c r="J4" s="282"/>
    </row>
    <row r="5" spans="1:10" ht="21" customHeight="1">
      <c r="A5" s="278" t="s">
        <v>65</v>
      </c>
      <c r="B5" s="278" t="s">
        <v>48</v>
      </c>
      <c r="C5" s="278" t="s">
        <v>29</v>
      </c>
      <c r="D5" s="278" t="s">
        <v>3100</v>
      </c>
      <c r="E5" s="279" t="s">
        <v>3113</v>
      </c>
      <c r="F5" s="279" t="s">
        <v>3114</v>
      </c>
      <c r="G5" s="279" t="s">
        <v>3115</v>
      </c>
      <c r="H5" s="29" t="s">
        <v>3116</v>
      </c>
      <c r="I5" s="280"/>
      <c r="J5" s="282"/>
    </row>
    <row r="6" spans="1:10" ht="21" customHeight="1">
      <c r="A6" s="278" t="s">
        <v>70</v>
      </c>
      <c r="B6" s="278" t="s">
        <v>48</v>
      </c>
      <c r="C6" s="278" t="s">
        <v>29</v>
      </c>
      <c r="D6" s="278" t="s">
        <v>3100</v>
      </c>
      <c r="E6" s="279" t="s">
        <v>3117</v>
      </c>
      <c r="F6" s="279" t="s">
        <v>3118</v>
      </c>
      <c r="G6" s="278" t="s">
        <v>3119</v>
      </c>
      <c r="H6" s="29" t="s">
        <v>3120</v>
      </c>
      <c r="I6" s="280"/>
      <c r="J6" s="279"/>
    </row>
    <row r="7" spans="1:10" ht="21" customHeight="1">
      <c r="A7" s="278" t="s">
        <v>74</v>
      </c>
      <c r="B7" s="278" t="s">
        <v>48</v>
      </c>
      <c r="C7" s="278" t="s">
        <v>29</v>
      </c>
      <c r="D7" s="278" t="s">
        <v>3100</v>
      </c>
      <c r="E7" s="279" t="s">
        <v>3121</v>
      </c>
      <c r="F7" s="279" t="s">
        <v>3122</v>
      </c>
      <c r="G7" s="279" t="s">
        <v>3123</v>
      </c>
      <c r="H7" s="29" t="s">
        <v>3124</v>
      </c>
      <c r="I7" s="280"/>
      <c r="J7" s="282"/>
    </row>
    <row r="8" spans="1:10" ht="21" customHeight="1">
      <c r="A8" s="278" t="s">
        <v>79</v>
      </c>
      <c r="B8" s="278" t="s">
        <v>48</v>
      </c>
      <c r="C8" s="278" t="s">
        <v>29</v>
      </c>
      <c r="D8" s="278" t="s">
        <v>3100</v>
      </c>
      <c r="E8" s="279" t="s">
        <v>3125</v>
      </c>
      <c r="F8" s="279" t="s">
        <v>3126</v>
      </c>
      <c r="G8" s="279" t="s">
        <v>3127</v>
      </c>
      <c r="H8" s="29" t="s">
        <v>3128</v>
      </c>
      <c r="I8" s="280"/>
      <c r="J8" s="282"/>
    </row>
    <row r="9" spans="1:10" ht="21" customHeight="1">
      <c r="A9" s="278" t="s">
        <v>84</v>
      </c>
      <c r="B9" s="278" t="s">
        <v>48</v>
      </c>
      <c r="C9" s="278" t="s">
        <v>29</v>
      </c>
      <c r="D9" s="278" t="s">
        <v>3100</v>
      </c>
      <c r="E9" s="279" t="s">
        <v>639</v>
      </c>
      <c r="F9" s="279" t="s">
        <v>3129</v>
      </c>
      <c r="G9" s="279" t="s">
        <v>3130</v>
      </c>
      <c r="H9" s="29" t="s">
        <v>3131</v>
      </c>
      <c r="I9" s="280"/>
      <c r="J9" s="282"/>
    </row>
    <row r="10" spans="1:10" ht="21" customHeight="1">
      <c r="A10" s="278" t="s">
        <v>89</v>
      </c>
      <c r="B10" s="278" t="s">
        <v>48</v>
      </c>
      <c r="C10" s="278" t="s">
        <v>29</v>
      </c>
      <c r="D10" s="278" t="s">
        <v>3100</v>
      </c>
      <c r="E10" s="279" t="s">
        <v>3132</v>
      </c>
      <c r="F10" s="279" t="s">
        <v>3133</v>
      </c>
      <c r="G10" s="279" t="s">
        <v>3134</v>
      </c>
      <c r="H10" s="29" t="s">
        <v>3135</v>
      </c>
      <c r="I10" s="280"/>
      <c r="J10" s="282"/>
    </row>
    <row r="11" spans="1:10" ht="21" customHeight="1">
      <c r="A11" s="278" t="s">
        <v>94</v>
      </c>
      <c r="B11" s="278" t="s">
        <v>48</v>
      </c>
      <c r="C11" s="278" t="s">
        <v>29</v>
      </c>
      <c r="D11" s="278" t="s">
        <v>3100</v>
      </c>
      <c r="E11" s="279" t="s">
        <v>3136</v>
      </c>
      <c r="F11" s="279" t="s">
        <v>3137</v>
      </c>
      <c r="G11" s="279" t="s">
        <v>3138</v>
      </c>
      <c r="H11" s="29" t="s">
        <v>3139</v>
      </c>
      <c r="I11" s="280"/>
      <c r="J11" s="282"/>
    </row>
    <row r="12" spans="1:10" ht="21" customHeight="1">
      <c r="A12" s="278" t="s">
        <v>99</v>
      </c>
      <c r="B12" s="278" t="s">
        <v>48</v>
      </c>
      <c r="C12" s="278" t="s">
        <v>29</v>
      </c>
      <c r="D12" s="278" t="s">
        <v>3100</v>
      </c>
      <c r="E12" s="279" t="s">
        <v>3140</v>
      </c>
      <c r="F12" s="279" t="s">
        <v>3141</v>
      </c>
      <c r="G12" s="279" t="s">
        <v>3142</v>
      </c>
      <c r="H12" s="29" t="s">
        <v>3143</v>
      </c>
      <c r="I12" s="280"/>
      <c r="J12" s="279"/>
    </row>
    <row r="13" spans="1:10" ht="21" customHeight="1">
      <c r="A13" s="278" t="s">
        <v>103</v>
      </c>
      <c r="B13" s="278" t="s">
        <v>48</v>
      </c>
      <c r="C13" s="278" t="s">
        <v>29</v>
      </c>
      <c r="D13" s="278" t="s">
        <v>3100</v>
      </c>
      <c r="E13" s="279" t="s">
        <v>3144</v>
      </c>
      <c r="F13" s="279" t="s">
        <v>3145</v>
      </c>
      <c r="G13" s="279" t="s">
        <v>3146</v>
      </c>
      <c r="H13" s="29" t="s">
        <v>3147</v>
      </c>
      <c r="I13" s="280"/>
      <c r="J13" s="279"/>
    </row>
    <row r="14" spans="1:10" ht="21" customHeight="1">
      <c r="A14" s="278" t="s">
        <v>108</v>
      </c>
      <c r="B14" s="278" t="s">
        <v>48</v>
      </c>
      <c r="C14" s="278" t="s">
        <v>29</v>
      </c>
      <c r="D14" s="278" t="s">
        <v>3100</v>
      </c>
      <c r="E14" s="279" t="s">
        <v>3148</v>
      </c>
      <c r="F14" s="279" t="s">
        <v>3149</v>
      </c>
      <c r="G14" s="279" t="s">
        <v>3150</v>
      </c>
      <c r="H14" s="29" t="s">
        <v>3151</v>
      </c>
      <c r="I14" s="280"/>
      <c r="J14" s="279"/>
    </row>
    <row r="15" spans="1:10" ht="21" customHeight="1">
      <c r="A15" s="278" t="s">
        <v>112</v>
      </c>
      <c r="B15" s="278" t="s">
        <v>48</v>
      </c>
      <c r="C15" s="278" t="s">
        <v>29</v>
      </c>
      <c r="D15" s="278" t="s">
        <v>3100</v>
      </c>
      <c r="E15" s="279" t="s">
        <v>3152</v>
      </c>
      <c r="F15" s="279" t="s">
        <v>3153</v>
      </c>
      <c r="G15" s="279" t="s">
        <v>3154</v>
      </c>
      <c r="H15" s="29" t="s">
        <v>3155</v>
      </c>
      <c r="I15" s="280"/>
      <c r="J15" s="279"/>
    </row>
    <row r="16" spans="1:10" ht="21" customHeight="1">
      <c r="A16" s="278" t="s">
        <v>118</v>
      </c>
      <c r="B16" s="278" t="s">
        <v>48</v>
      </c>
      <c r="C16" s="278" t="s">
        <v>29</v>
      </c>
      <c r="D16" s="278" t="s">
        <v>3100</v>
      </c>
      <c r="E16" s="279" t="s">
        <v>3156</v>
      </c>
      <c r="F16" s="279" t="s">
        <v>3157</v>
      </c>
      <c r="G16" s="279" t="s">
        <v>3158</v>
      </c>
      <c r="H16" s="29" t="s">
        <v>3159</v>
      </c>
      <c r="I16" s="280"/>
      <c r="J16" s="279"/>
    </row>
    <row r="17" spans="1:10" ht="21" customHeight="1">
      <c r="A17" s="278" t="s">
        <v>124</v>
      </c>
      <c r="B17" s="278" t="s">
        <v>48</v>
      </c>
      <c r="C17" s="278" t="s">
        <v>29</v>
      </c>
      <c r="D17" s="278" t="s">
        <v>3100</v>
      </c>
      <c r="E17" s="279" t="s">
        <v>3160</v>
      </c>
      <c r="F17" s="279" t="s">
        <v>3161</v>
      </c>
      <c r="G17" s="279" t="s">
        <v>3162</v>
      </c>
      <c r="H17" s="29" t="s">
        <v>3163</v>
      </c>
      <c r="I17" s="280"/>
      <c r="J17" s="279"/>
    </row>
    <row r="18" spans="1:10" ht="21" customHeight="1">
      <c r="A18" s="278" t="s">
        <v>129</v>
      </c>
      <c r="B18" s="278" t="s">
        <v>48</v>
      </c>
      <c r="C18" s="278" t="s">
        <v>29</v>
      </c>
      <c r="D18" s="278" t="s">
        <v>3100</v>
      </c>
      <c r="E18" s="279" t="s">
        <v>3164</v>
      </c>
      <c r="F18" s="279" t="s">
        <v>3165</v>
      </c>
      <c r="G18" s="279" t="s">
        <v>3166</v>
      </c>
      <c r="H18" s="29" t="s">
        <v>3167</v>
      </c>
      <c r="I18" s="280"/>
      <c r="J18" s="279"/>
    </row>
    <row r="19" spans="1:10" ht="21" customHeight="1">
      <c r="A19" s="278" t="s">
        <v>133</v>
      </c>
      <c r="B19" s="278" t="s">
        <v>48</v>
      </c>
      <c r="C19" s="278" t="s">
        <v>29</v>
      </c>
      <c r="D19" s="278" t="s">
        <v>3100</v>
      </c>
      <c r="E19" s="279" t="s">
        <v>3168</v>
      </c>
      <c r="F19" s="279" t="s">
        <v>3169</v>
      </c>
      <c r="G19" s="279" t="s">
        <v>3170</v>
      </c>
      <c r="H19" s="29" t="s">
        <v>3171</v>
      </c>
      <c r="I19" s="280"/>
      <c r="J19" s="279"/>
    </row>
    <row r="20" spans="1:10" ht="21" customHeight="1">
      <c r="A20" s="278" t="s">
        <v>137</v>
      </c>
      <c r="B20" s="278" t="s">
        <v>48</v>
      </c>
      <c r="C20" s="278" t="s">
        <v>29</v>
      </c>
      <c r="D20" s="278" t="s">
        <v>3100</v>
      </c>
      <c r="E20" s="279" t="s">
        <v>3172</v>
      </c>
      <c r="F20" s="279" t="s">
        <v>3173</v>
      </c>
      <c r="G20" s="279" t="s">
        <v>3174</v>
      </c>
      <c r="H20" s="29" t="s">
        <v>3175</v>
      </c>
      <c r="I20" s="280"/>
      <c r="J20" s="282"/>
    </row>
    <row r="21" spans="1:10" ht="21" customHeight="1">
      <c r="A21" s="278" t="s">
        <v>142</v>
      </c>
      <c r="B21" s="278" t="s">
        <v>48</v>
      </c>
      <c r="C21" s="278" t="s">
        <v>29</v>
      </c>
      <c r="D21" s="278" t="s">
        <v>3100</v>
      </c>
      <c r="E21" s="279" t="s">
        <v>3176</v>
      </c>
      <c r="F21" s="279" t="s">
        <v>3177</v>
      </c>
      <c r="G21" s="279" t="s">
        <v>3178</v>
      </c>
      <c r="H21" s="29" t="s">
        <v>3179</v>
      </c>
      <c r="I21" s="280"/>
      <c r="J21" s="282"/>
    </row>
    <row r="22" spans="1:10" ht="21" customHeight="1">
      <c r="A22" s="278" t="s">
        <v>146</v>
      </c>
      <c r="B22" s="278" t="s">
        <v>48</v>
      </c>
      <c r="C22" s="278" t="s">
        <v>29</v>
      </c>
      <c r="D22" s="278" t="s">
        <v>3100</v>
      </c>
      <c r="E22" s="279" t="s">
        <v>3180</v>
      </c>
      <c r="F22" s="279" t="s">
        <v>3181</v>
      </c>
      <c r="G22" s="279" t="s">
        <v>3182</v>
      </c>
      <c r="H22" s="29" t="s">
        <v>3183</v>
      </c>
      <c r="I22" s="280"/>
      <c r="J22" s="282"/>
    </row>
    <row r="23" spans="1:10" ht="21" customHeight="1">
      <c r="A23" s="278" t="s">
        <v>151</v>
      </c>
      <c r="B23" s="278" t="s">
        <v>48</v>
      </c>
      <c r="C23" s="278" t="s">
        <v>29</v>
      </c>
      <c r="D23" s="278" t="s">
        <v>3100</v>
      </c>
      <c r="E23" s="279" t="s">
        <v>3184</v>
      </c>
      <c r="F23" s="279" t="s">
        <v>3185</v>
      </c>
      <c r="G23" s="279" t="s">
        <v>3186</v>
      </c>
      <c r="H23" s="29" t="s">
        <v>3187</v>
      </c>
      <c r="I23" s="280"/>
      <c r="J23" s="279"/>
    </row>
    <row r="24" spans="1:10" ht="21" customHeight="1">
      <c r="A24" s="278" t="s">
        <v>154</v>
      </c>
      <c r="B24" s="278" t="s">
        <v>48</v>
      </c>
      <c r="C24" s="278" t="s">
        <v>29</v>
      </c>
      <c r="D24" s="278" t="s">
        <v>3100</v>
      </c>
      <c r="E24" s="279" t="s">
        <v>766</v>
      </c>
      <c r="F24" s="279" t="s">
        <v>3188</v>
      </c>
      <c r="G24" s="279" t="s">
        <v>768</v>
      </c>
      <c r="H24" s="29" t="s">
        <v>3189</v>
      </c>
      <c r="I24" s="280"/>
      <c r="J24" s="279"/>
    </row>
    <row r="25" spans="1:10" ht="21" customHeight="1">
      <c r="A25" s="278" t="s">
        <v>158</v>
      </c>
      <c r="B25" s="278" t="s">
        <v>48</v>
      </c>
      <c r="C25" s="278" t="s">
        <v>29</v>
      </c>
      <c r="D25" s="278" t="s">
        <v>3100</v>
      </c>
      <c r="E25" s="279" t="s">
        <v>3190</v>
      </c>
      <c r="F25" s="279" t="s">
        <v>3191</v>
      </c>
      <c r="G25" s="279" t="s">
        <v>3192</v>
      </c>
      <c r="H25" s="29" t="s">
        <v>3193</v>
      </c>
      <c r="I25" s="280"/>
      <c r="J25" s="282"/>
    </row>
    <row r="26" spans="1:10" ht="21" customHeight="1">
      <c r="A26" s="278" t="s">
        <v>164</v>
      </c>
      <c r="B26" s="278" t="s">
        <v>48</v>
      </c>
      <c r="C26" s="278" t="s">
        <v>29</v>
      </c>
      <c r="D26" s="278" t="s">
        <v>3100</v>
      </c>
      <c r="E26" s="279" t="s">
        <v>3194</v>
      </c>
      <c r="F26" s="279" t="s">
        <v>3195</v>
      </c>
      <c r="G26" s="29" t="s">
        <v>3196</v>
      </c>
      <c r="H26" s="29" t="s">
        <v>3197</v>
      </c>
      <c r="I26" s="280"/>
      <c r="J26" s="282"/>
    </row>
    <row r="27" spans="1:10" ht="21" customHeight="1">
      <c r="A27" s="278" t="s">
        <v>170</v>
      </c>
      <c r="B27" s="278" t="s">
        <v>48</v>
      </c>
      <c r="C27" s="278" t="s">
        <v>29</v>
      </c>
      <c r="D27" s="278" t="s">
        <v>3100</v>
      </c>
      <c r="E27" s="279" t="s">
        <v>3198</v>
      </c>
      <c r="F27" s="279" t="s">
        <v>3195</v>
      </c>
      <c r="G27" s="29" t="s">
        <v>3199</v>
      </c>
      <c r="H27" s="29" t="s">
        <v>3200</v>
      </c>
      <c r="I27" s="280"/>
      <c r="J27" s="282"/>
    </row>
    <row r="28" spans="1:10" ht="21" customHeight="1">
      <c r="A28" s="278" t="s">
        <v>283</v>
      </c>
      <c r="B28" s="278" t="s">
        <v>48</v>
      </c>
      <c r="C28" s="278" t="s">
        <v>29</v>
      </c>
      <c r="D28" s="278" t="s">
        <v>3100</v>
      </c>
      <c r="E28" s="279" t="s">
        <v>3201</v>
      </c>
      <c r="F28" s="279" t="s">
        <v>3202</v>
      </c>
      <c r="G28" s="29" t="s">
        <v>3203</v>
      </c>
      <c r="H28" s="29" t="s">
        <v>3204</v>
      </c>
      <c r="I28" s="280"/>
      <c r="J28" s="282"/>
    </row>
    <row r="29" spans="1:10" ht="21" customHeight="1">
      <c r="A29" s="278" t="s">
        <v>288</v>
      </c>
      <c r="B29" s="278" t="s">
        <v>48</v>
      </c>
      <c r="C29" s="278" t="s">
        <v>29</v>
      </c>
      <c r="D29" s="278" t="s">
        <v>3100</v>
      </c>
      <c r="E29" s="279" t="s">
        <v>3205</v>
      </c>
      <c r="F29" s="279" t="s">
        <v>3206</v>
      </c>
      <c r="G29" s="29" t="s">
        <v>3207</v>
      </c>
      <c r="H29" s="29" t="s">
        <v>3208</v>
      </c>
      <c r="I29" s="280"/>
      <c r="J29" s="282"/>
    </row>
    <row r="30" spans="1:10" ht="21" customHeight="1">
      <c r="A30" s="278" t="s">
        <v>293</v>
      </c>
      <c r="B30" s="278" t="s">
        <v>48</v>
      </c>
      <c r="C30" s="278" t="s">
        <v>29</v>
      </c>
      <c r="D30" s="278" t="s">
        <v>3100</v>
      </c>
      <c r="E30" s="279" t="s">
        <v>3209</v>
      </c>
      <c r="F30" s="279" t="s">
        <v>3202</v>
      </c>
      <c r="G30" s="29" t="s">
        <v>3210</v>
      </c>
      <c r="H30" s="29" t="s">
        <v>3211</v>
      </c>
      <c r="I30" s="280"/>
      <c r="J30" s="282"/>
    </row>
    <row r="31" spans="1:10" ht="21" customHeight="1">
      <c r="A31" s="278" t="s">
        <v>298</v>
      </c>
      <c r="B31" s="278" t="s">
        <v>48</v>
      </c>
      <c r="C31" s="278" t="s">
        <v>29</v>
      </c>
      <c r="D31" s="278" t="s">
        <v>3212</v>
      </c>
      <c r="E31" s="279" t="s">
        <v>3213</v>
      </c>
      <c r="F31" s="279" t="s">
        <v>3214</v>
      </c>
      <c r="G31" s="279" t="s">
        <v>3215</v>
      </c>
      <c r="H31" s="29" t="s">
        <v>3216</v>
      </c>
      <c r="I31" s="280"/>
      <c r="J31" s="279"/>
    </row>
    <row r="32" spans="1:10" ht="21" customHeight="1">
      <c r="A32" s="278" t="s">
        <v>303</v>
      </c>
      <c r="B32" s="278" t="s">
        <v>48</v>
      </c>
      <c r="C32" s="278" t="s">
        <v>29</v>
      </c>
      <c r="D32" s="278" t="s">
        <v>3212</v>
      </c>
      <c r="E32" s="279" t="s">
        <v>3217</v>
      </c>
      <c r="F32" s="279" t="s">
        <v>3218</v>
      </c>
      <c r="G32" s="279" t="s">
        <v>3219</v>
      </c>
      <c r="H32" s="29" t="s">
        <v>3220</v>
      </c>
      <c r="I32" s="280"/>
      <c r="J32" s="279"/>
    </row>
    <row r="33" spans="1:10" ht="21" customHeight="1">
      <c r="A33" s="278" t="s">
        <v>308</v>
      </c>
      <c r="B33" s="278" t="s">
        <v>48</v>
      </c>
      <c r="C33" s="278" t="s">
        <v>29</v>
      </c>
      <c r="D33" s="278" t="s">
        <v>3212</v>
      </c>
      <c r="E33" s="279" t="s">
        <v>3221</v>
      </c>
      <c r="F33" s="279" t="s">
        <v>3222</v>
      </c>
      <c r="G33" s="278" t="s">
        <v>3223</v>
      </c>
      <c r="H33" s="29" t="s">
        <v>3224</v>
      </c>
      <c r="I33" s="280"/>
      <c r="J33" s="279"/>
    </row>
    <row r="34" spans="1:10" ht="21" customHeight="1">
      <c r="A34" s="278" t="s">
        <v>313</v>
      </c>
      <c r="B34" s="278" t="s">
        <v>48</v>
      </c>
      <c r="C34" s="278" t="s">
        <v>29</v>
      </c>
      <c r="D34" s="278" t="s">
        <v>3212</v>
      </c>
      <c r="E34" s="279" t="s">
        <v>3225</v>
      </c>
      <c r="F34" s="279" t="s">
        <v>3226</v>
      </c>
      <c r="G34" s="279" t="s">
        <v>3227</v>
      </c>
      <c r="H34" s="29" t="s">
        <v>3228</v>
      </c>
      <c r="I34" s="280"/>
      <c r="J34" s="279"/>
    </row>
    <row r="35" spans="1:10" ht="21" customHeight="1">
      <c r="A35" s="278" t="s">
        <v>318</v>
      </c>
      <c r="B35" s="278" t="s">
        <v>48</v>
      </c>
      <c r="C35" s="278" t="s">
        <v>29</v>
      </c>
      <c r="D35" s="278" t="s">
        <v>3212</v>
      </c>
      <c r="E35" s="279" t="s">
        <v>3229</v>
      </c>
      <c r="F35" s="279" t="s">
        <v>3230</v>
      </c>
      <c r="G35" s="279" t="s">
        <v>3231</v>
      </c>
      <c r="H35" s="29" t="s">
        <v>3232</v>
      </c>
      <c r="I35" s="280"/>
      <c r="J35" s="279"/>
    </row>
    <row r="36" spans="1:10" ht="21" customHeight="1">
      <c r="A36" s="278" t="s">
        <v>323</v>
      </c>
      <c r="B36" s="278" t="s">
        <v>48</v>
      </c>
      <c r="C36" s="278" t="s">
        <v>29</v>
      </c>
      <c r="D36" s="278" t="s">
        <v>3212</v>
      </c>
      <c r="E36" s="279" t="s">
        <v>3233</v>
      </c>
      <c r="F36" s="279" t="s">
        <v>3234</v>
      </c>
      <c r="G36" s="279" t="s">
        <v>3235</v>
      </c>
      <c r="H36" s="29" t="s">
        <v>3236</v>
      </c>
      <c r="I36" s="280"/>
      <c r="J36" s="279"/>
    </row>
    <row r="37" spans="1:10" ht="21" customHeight="1">
      <c r="A37" s="278" t="s">
        <v>327</v>
      </c>
      <c r="B37" s="278" t="s">
        <v>48</v>
      </c>
      <c r="C37" s="278" t="s">
        <v>29</v>
      </c>
      <c r="D37" s="278" t="s">
        <v>3212</v>
      </c>
      <c r="E37" s="279" t="s">
        <v>3237</v>
      </c>
      <c r="F37" s="279" t="s">
        <v>3238</v>
      </c>
      <c r="G37" s="279" t="s">
        <v>3239</v>
      </c>
      <c r="H37" s="29" t="s">
        <v>3240</v>
      </c>
      <c r="I37" s="280"/>
      <c r="J37" s="279"/>
    </row>
    <row r="38" spans="1:10" ht="21" customHeight="1">
      <c r="A38" s="278" t="s">
        <v>333</v>
      </c>
      <c r="B38" s="278" t="s">
        <v>48</v>
      </c>
      <c r="C38" s="278" t="s">
        <v>29</v>
      </c>
      <c r="D38" s="278" t="s">
        <v>3241</v>
      </c>
      <c r="E38" s="279" t="s">
        <v>3242</v>
      </c>
      <c r="F38" s="279" t="s">
        <v>3243</v>
      </c>
      <c r="G38" s="279" t="s">
        <v>3244</v>
      </c>
      <c r="H38" s="29" t="s">
        <v>3245</v>
      </c>
      <c r="I38" s="280"/>
      <c r="J38" s="279"/>
    </row>
    <row r="39" spans="1:10" ht="21" customHeight="1">
      <c r="A39" s="278" t="s">
        <v>338</v>
      </c>
      <c r="B39" s="278" t="s">
        <v>48</v>
      </c>
      <c r="C39" s="278" t="s">
        <v>29</v>
      </c>
      <c r="D39" s="278" t="s">
        <v>3241</v>
      </c>
      <c r="E39" s="279" t="s">
        <v>3246</v>
      </c>
      <c r="F39" s="279" t="s">
        <v>3247</v>
      </c>
      <c r="G39" s="279" t="s">
        <v>3248</v>
      </c>
      <c r="H39" s="29" t="s">
        <v>3249</v>
      </c>
      <c r="I39" s="280"/>
      <c r="J39" s="279"/>
    </row>
    <row r="40" spans="1:10" ht="21" customHeight="1">
      <c r="A40" s="278" t="s">
        <v>343</v>
      </c>
      <c r="B40" s="278" t="s">
        <v>48</v>
      </c>
      <c r="C40" s="278" t="s">
        <v>29</v>
      </c>
      <c r="D40" s="278" t="s">
        <v>3241</v>
      </c>
      <c r="E40" s="279" t="s">
        <v>3250</v>
      </c>
      <c r="F40" s="279" t="s">
        <v>3251</v>
      </c>
      <c r="G40" s="279" t="s">
        <v>3252</v>
      </c>
      <c r="H40" s="29" t="s">
        <v>3253</v>
      </c>
      <c r="I40" s="280"/>
      <c r="J40" s="282"/>
    </row>
    <row r="41" spans="1:10" ht="21" customHeight="1">
      <c r="A41" s="278" t="s">
        <v>349</v>
      </c>
      <c r="B41" s="278" t="s">
        <v>48</v>
      </c>
      <c r="C41" s="278" t="s">
        <v>29</v>
      </c>
      <c r="D41" s="278" t="s">
        <v>3241</v>
      </c>
      <c r="E41" s="279" t="s">
        <v>3254</v>
      </c>
      <c r="F41" s="279" t="s">
        <v>3255</v>
      </c>
      <c r="G41" s="279" t="s">
        <v>3256</v>
      </c>
      <c r="H41" s="29" t="s">
        <v>3257</v>
      </c>
      <c r="I41" s="280"/>
      <c r="J41" s="29"/>
    </row>
    <row r="42" spans="1:10" ht="21" customHeight="1">
      <c r="A42" s="278" t="s">
        <v>354</v>
      </c>
      <c r="B42" s="278" t="s">
        <v>48</v>
      </c>
      <c r="C42" s="278" t="s">
        <v>29</v>
      </c>
      <c r="D42" s="278" t="s">
        <v>3241</v>
      </c>
      <c r="E42" s="279" t="s">
        <v>3258</v>
      </c>
      <c r="F42" s="279" t="s">
        <v>3259</v>
      </c>
      <c r="G42" s="279" t="s">
        <v>3260</v>
      </c>
      <c r="H42" s="29" t="s">
        <v>3261</v>
      </c>
      <c r="I42" s="280"/>
      <c r="J42" s="29"/>
    </row>
    <row r="43" spans="1:10" ht="21" customHeight="1">
      <c r="A43" s="278" t="s">
        <v>359</v>
      </c>
      <c r="B43" s="278" t="s">
        <v>48</v>
      </c>
      <c r="C43" s="278" t="s">
        <v>29</v>
      </c>
      <c r="D43" s="278" t="s">
        <v>3241</v>
      </c>
      <c r="E43" s="279" t="s">
        <v>3125</v>
      </c>
      <c r="F43" s="279" t="s">
        <v>3262</v>
      </c>
      <c r="G43" s="279" t="s">
        <v>3263</v>
      </c>
      <c r="H43" s="29" t="s">
        <v>3264</v>
      </c>
      <c r="I43" s="280"/>
      <c r="J43" s="279"/>
    </row>
    <row r="44" spans="1:10" ht="21" customHeight="1">
      <c r="A44" s="278" t="s">
        <v>363</v>
      </c>
      <c r="B44" s="278" t="s">
        <v>48</v>
      </c>
      <c r="C44" s="278" t="s">
        <v>29</v>
      </c>
      <c r="D44" s="278" t="s">
        <v>3241</v>
      </c>
      <c r="E44" s="279" t="s">
        <v>3132</v>
      </c>
      <c r="F44" s="279" t="s">
        <v>3265</v>
      </c>
      <c r="G44" s="279" t="s">
        <v>3266</v>
      </c>
      <c r="H44" s="29" t="s">
        <v>3267</v>
      </c>
      <c r="I44" s="280"/>
      <c r="J44" s="279"/>
    </row>
    <row r="45" spans="1:10" ht="21" customHeight="1">
      <c r="A45" s="278" t="s">
        <v>368</v>
      </c>
      <c r="B45" s="278" t="s">
        <v>48</v>
      </c>
      <c r="C45" s="278" t="s">
        <v>29</v>
      </c>
      <c r="D45" s="278" t="s">
        <v>3241</v>
      </c>
      <c r="E45" s="279" t="s">
        <v>3144</v>
      </c>
      <c r="F45" s="279" t="s">
        <v>3268</v>
      </c>
      <c r="G45" s="279" t="s">
        <v>3269</v>
      </c>
      <c r="H45" s="29" t="s">
        <v>3270</v>
      </c>
      <c r="I45" s="280"/>
      <c r="J45" s="279"/>
    </row>
    <row r="46" spans="1:10" ht="21" customHeight="1">
      <c r="A46" s="278" t="s">
        <v>372</v>
      </c>
      <c r="B46" s="278" t="s">
        <v>48</v>
      </c>
      <c r="C46" s="278" t="s">
        <v>29</v>
      </c>
      <c r="D46" s="278" t="s">
        <v>3241</v>
      </c>
      <c r="E46" s="279" t="s">
        <v>3271</v>
      </c>
      <c r="F46" s="279" t="s">
        <v>3272</v>
      </c>
      <c r="G46" s="279" t="s">
        <v>3273</v>
      </c>
      <c r="H46" s="29" t="s">
        <v>3274</v>
      </c>
      <c r="I46" s="280"/>
      <c r="J46" s="279"/>
    </row>
    <row r="47" spans="1:10" ht="21" customHeight="1">
      <c r="A47" s="278" t="s">
        <v>377</v>
      </c>
      <c r="B47" s="278" t="s">
        <v>48</v>
      </c>
      <c r="C47" s="278" t="s">
        <v>29</v>
      </c>
      <c r="D47" s="278" t="s">
        <v>3241</v>
      </c>
      <c r="E47" s="279" t="s">
        <v>3152</v>
      </c>
      <c r="F47" s="279" t="s">
        <v>3275</v>
      </c>
      <c r="G47" s="279" t="s">
        <v>3276</v>
      </c>
      <c r="H47" s="29" t="s">
        <v>3277</v>
      </c>
      <c r="I47" s="280"/>
      <c r="J47" s="282"/>
    </row>
    <row r="48" spans="1:10" ht="21" customHeight="1">
      <c r="A48" s="278" t="s">
        <v>382</v>
      </c>
      <c r="B48" s="278" t="s">
        <v>48</v>
      </c>
      <c r="C48" s="278" t="s">
        <v>29</v>
      </c>
      <c r="D48" s="278" t="s">
        <v>3241</v>
      </c>
      <c r="E48" s="279" t="s">
        <v>3164</v>
      </c>
      <c r="F48" s="279" t="s">
        <v>3278</v>
      </c>
      <c r="G48" s="279" t="s">
        <v>3279</v>
      </c>
      <c r="H48" s="29" t="s">
        <v>3280</v>
      </c>
      <c r="I48" s="280"/>
      <c r="J48" s="279"/>
    </row>
    <row r="49" spans="1:10" ht="21" customHeight="1">
      <c r="A49" s="278" t="s">
        <v>386</v>
      </c>
      <c r="B49" s="278" t="s">
        <v>48</v>
      </c>
      <c r="C49" s="278" t="s">
        <v>29</v>
      </c>
      <c r="D49" s="278" t="s">
        <v>3241</v>
      </c>
      <c r="E49" s="279" t="s">
        <v>3281</v>
      </c>
      <c r="F49" s="279" t="s">
        <v>3282</v>
      </c>
      <c r="G49" s="279" t="s">
        <v>3283</v>
      </c>
      <c r="H49" s="29" t="s">
        <v>3284</v>
      </c>
      <c r="I49" s="280"/>
      <c r="J49" s="279"/>
    </row>
    <row r="50" spans="1:10" ht="21" customHeight="1">
      <c r="A50" s="278" t="s">
        <v>390</v>
      </c>
      <c r="B50" s="283" t="s">
        <v>48</v>
      </c>
      <c r="C50" s="283" t="s">
        <v>29</v>
      </c>
      <c r="D50" s="283" t="s">
        <v>3241</v>
      </c>
      <c r="E50" s="284" t="s">
        <v>3285</v>
      </c>
      <c r="F50" s="284" t="s">
        <v>3286</v>
      </c>
      <c r="G50" s="284" t="s">
        <v>3287</v>
      </c>
      <c r="H50" s="29" t="s">
        <v>3288</v>
      </c>
      <c r="I50" s="285"/>
      <c r="J50" s="284"/>
    </row>
    <row r="51" spans="1:10" ht="21" customHeight="1">
      <c r="A51" s="278" t="s">
        <v>394</v>
      </c>
      <c r="B51" s="278" t="s">
        <v>48</v>
      </c>
      <c r="C51" s="278" t="s">
        <v>29</v>
      </c>
      <c r="D51" s="278" t="s">
        <v>3241</v>
      </c>
      <c r="E51" s="279" t="s">
        <v>766</v>
      </c>
      <c r="F51" s="279" t="s">
        <v>3289</v>
      </c>
      <c r="G51" s="279" t="s">
        <v>3290</v>
      </c>
      <c r="H51" s="29" t="s">
        <v>3291</v>
      </c>
      <c r="I51" s="280"/>
      <c r="J51" s="284"/>
    </row>
    <row r="52" spans="1:10" ht="21" customHeight="1">
      <c r="A52" s="278" t="s">
        <v>398</v>
      </c>
      <c r="B52" s="278" t="s">
        <v>48</v>
      </c>
      <c r="C52" s="278" t="s">
        <v>29</v>
      </c>
      <c r="D52" s="278" t="s">
        <v>3241</v>
      </c>
      <c r="E52" s="279" t="s">
        <v>3292</v>
      </c>
      <c r="F52" s="279" t="s">
        <v>3293</v>
      </c>
      <c r="G52" s="279" t="s">
        <v>3294</v>
      </c>
      <c r="H52" s="29" t="s">
        <v>3295</v>
      </c>
      <c r="I52" s="83"/>
      <c r="J52" s="284"/>
    </row>
    <row r="53" spans="1:10" ht="21" customHeight="1">
      <c r="A53" s="278" t="s">
        <v>401</v>
      </c>
      <c r="B53" s="278" t="s">
        <v>48</v>
      </c>
      <c r="C53" s="278" t="s">
        <v>29</v>
      </c>
      <c r="D53" s="278" t="s">
        <v>3241</v>
      </c>
      <c r="E53" s="279" t="s">
        <v>3296</v>
      </c>
      <c r="F53" s="279" t="s">
        <v>3297</v>
      </c>
      <c r="G53" s="279" t="s">
        <v>3298</v>
      </c>
      <c r="H53" s="29" t="s">
        <v>3299</v>
      </c>
      <c r="I53" s="280"/>
      <c r="J53" s="279"/>
    </row>
    <row r="54" spans="1:10" ht="21" customHeight="1">
      <c r="A54" s="278" t="s">
        <v>404</v>
      </c>
      <c r="B54" s="278" t="s">
        <v>48</v>
      </c>
      <c r="C54" s="278" t="s">
        <v>29</v>
      </c>
      <c r="D54" s="278" t="s">
        <v>3241</v>
      </c>
      <c r="E54" s="279" t="s">
        <v>3300</v>
      </c>
      <c r="F54" s="279" t="s">
        <v>3301</v>
      </c>
      <c r="G54" s="279" t="s">
        <v>3302</v>
      </c>
      <c r="H54" s="29" t="s">
        <v>3303</v>
      </c>
      <c r="I54" s="280"/>
      <c r="J54" s="279"/>
    </row>
    <row r="55" spans="1:10" ht="21" customHeight="1">
      <c r="A55" s="278" t="s">
        <v>407</v>
      </c>
      <c r="B55" s="278" t="s">
        <v>48</v>
      </c>
      <c r="C55" s="278" t="s">
        <v>29</v>
      </c>
      <c r="D55" s="278" t="s">
        <v>3241</v>
      </c>
      <c r="E55" s="279" t="s">
        <v>3304</v>
      </c>
      <c r="F55" s="279" t="s">
        <v>3305</v>
      </c>
      <c r="G55" s="279" t="s">
        <v>3306</v>
      </c>
      <c r="H55" s="29" t="s">
        <v>3307</v>
      </c>
      <c r="I55" s="280"/>
      <c r="J55" s="279"/>
    </row>
    <row r="56" spans="1:10" ht="21" customHeight="1">
      <c r="A56" s="278" t="s">
        <v>411</v>
      </c>
      <c r="B56" s="278" t="s">
        <v>48</v>
      </c>
      <c r="C56" s="278" t="s">
        <v>29</v>
      </c>
      <c r="D56" s="278" t="s">
        <v>3241</v>
      </c>
      <c r="E56" s="279" t="s">
        <v>3308</v>
      </c>
      <c r="F56" s="279" t="s">
        <v>3309</v>
      </c>
      <c r="G56" s="279" t="s">
        <v>3310</v>
      </c>
      <c r="H56" s="29" t="s">
        <v>3311</v>
      </c>
      <c r="I56" s="280"/>
      <c r="J56" s="279"/>
    </row>
    <row r="57" spans="1:10" ht="21" customHeight="1">
      <c r="A57" s="278" t="s">
        <v>414</v>
      </c>
      <c r="B57" s="278" t="s">
        <v>48</v>
      </c>
      <c r="C57" s="278" t="s">
        <v>29</v>
      </c>
      <c r="D57" s="278" t="s">
        <v>3241</v>
      </c>
      <c r="E57" s="279" t="s">
        <v>3312</v>
      </c>
      <c r="F57" s="279" t="s">
        <v>3313</v>
      </c>
      <c r="G57" s="279" t="s">
        <v>3314</v>
      </c>
      <c r="H57" s="29" t="s">
        <v>3315</v>
      </c>
      <c r="I57" s="280"/>
      <c r="J57" s="279"/>
    </row>
    <row r="58" spans="1:10" ht="21" customHeight="1">
      <c r="A58" s="278" t="s">
        <v>419</v>
      </c>
      <c r="B58" s="278" t="s">
        <v>48</v>
      </c>
      <c r="C58" s="278" t="s">
        <v>29</v>
      </c>
      <c r="D58" s="278" t="s">
        <v>3241</v>
      </c>
      <c r="E58" s="279" t="s">
        <v>3316</v>
      </c>
      <c r="F58" s="279" t="s">
        <v>3317</v>
      </c>
      <c r="G58" s="279" t="s">
        <v>3318</v>
      </c>
      <c r="H58" s="29" t="s">
        <v>3319</v>
      </c>
      <c r="I58" s="83"/>
      <c r="J58" s="52"/>
    </row>
    <row r="59" spans="1:10" ht="21" customHeight="1">
      <c r="A59" s="278" t="s">
        <v>424</v>
      </c>
      <c r="B59" s="278" t="s">
        <v>48</v>
      </c>
      <c r="C59" s="278" t="s">
        <v>29</v>
      </c>
      <c r="D59" s="278" t="s">
        <v>3241</v>
      </c>
      <c r="E59" s="279" t="s">
        <v>3320</v>
      </c>
      <c r="F59" s="279" t="s">
        <v>3321</v>
      </c>
      <c r="G59" s="279" t="s">
        <v>3322</v>
      </c>
      <c r="H59" s="29" t="s">
        <v>3323</v>
      </c>
      <c r="I59" s="280"/>
      <c r="J59" s="52"/>
    </row>
    <row r="60" spans="1:10" ht="21" customHeight="1">
      <c r="A60" s="278" t="s">
        <v>429</v>
      </c>
      <c r="B60" s="278" t="s">
        <v>48</v>
      </c>
      <c r="C60" s="278" t="s">
        <v>29</v>
      </c>
      <c r="D60" s="278" t="s">
        <v>3241</v>
      </c>
      <c r="E60" s="279" t="s">
        <v>3324</v>
      </c>
      <c r="F60" s="279" t="s">
        <v>3325</v>
      </c>
      <c r="G60" s="279" t="s">
        <v>3326</v>
      </c>
      <c r="H60" s="29" t="s">
        <v>3327</v>
      </c>
      <c r="I60" s="280"/>
      <c r="J60" s="52"/>
    </row>
    <row r="61" spans="1:10" ht="21" customHeight="1">
      <c r="A61" s="278" t="s">
        <v>434</v>
      </c>
      <c r="B61" s="278" t="s">
        <v>48</v>
      </c>
      <c r="C61" s="278" t="s">
        <v>29</v>
      </c>
      <c r="D61" s="278" t="s">
        <v>3241</v>
      </c>
      <c r="E61" s="279" t="s">
        <v>3328</v>
      </c>
      <c r="F61" s="279" t="s">
        <v>3329</v>
      </c>
      <c r="G61" s="279" t="s">
        <v>3330</v>
      </c>
      <c r="H61" s="29" t="s">
        <v>3331</v>
      </c>
      <c r="I61" s="280"/>
      <c r="J61" s="279"/>
    </row>
    <row r="62" spans="1:10" ht="21" customHeight="1">
      <c r="A62" s="278" t="s">
        <v>439</v>
      </c>
      <c r="B62" s="278" t="s">
        <v>48</v>
      </c>
      <c r="C62" s="278" t="s">
        <v>29</v>
      </c>
      <c r="D62" s="278" t="s">
        <v>3241</v>
      </c>
      <c r="E62" s="279" t="s">
        <v>3332</v>
      </c>
      <c r="F62" s="279" t="s">
        <v>3333</v>
      </c>
      <c r="G62" s="279" t="s">
        <v>3334</v>
      </c>
      <c r="H62" s="29" t="s">
        <v>3335</v>
      </c>
      <c r="I62" s="280"/>
      <c r="J62" s="279"/>
    </row>
    <row r="63" spans="1:10" ht="21" customHeight="1">
      <c r="A63" s="278" t="s">
        <v>443</v>
      </c>
      <c r="B63" s="278" t="s">
        <v>48</v>
      </c>
      <c r="C63" s="278" t="s">
        <v>29</v>
      </c>
      <c r="D63" s="278" t="s">
        <v>3241</v>
      </c>
      <c r="E63" s="279" t="s">
        <v>3336</v>
      </c>
      <c r="F63" s="279" t="s">
        <v>3337</v>
      </c>
      <c r="G63" s="279" t="s">
        <v>3338</v>
      </c>
      <c r="H63" s="29" t="s">
        <v>3339</v>
      </c>
      <c r="I63" s="280"/>
      <c r="J63" s="279"/>
    </row>
    <row r="64" spans="1:10" ht="21" customHeight="1">
      <c r="A64" s="278" t="s">
        <v>447</v>
      </c>
      <c r="B64" s="278" t="s">
        <v>48</v>
      </c>
      <c r="C64" s="278" t="s">
        <v>29</v>
      </c>
      <c r="D64" s="278" t="s">
        <v>3241</v>
      </c>
      <c r="E64" s="279" t="s">
        <v>3340</v>
      </c>
      <c r="F64" s="279" t="s">
        <v>3341</v>
      </c>
      <c r="G64" s="279" t="s">
        <v>3342</v>
      </c>
      <c r="H64" s="29" t="s">
        <v>3343</v>
      </c>
      <c r="I64" s="280"/>
      <c r="J64" s="279"/>
    </row>
    <row r="65" spans="1:10" ht="21" customHeight="1">
      <c r="A65" s="278" t="s">
        <v>451</v>
      </c>
      <c r="B65" s="278" t="s">
        <v>48</v>
      </c>
      <c r="C65" s="278" t="s">
        <v>29</v>
      </c>
      <c r="D65" s="278" t="s">
        <v>3241</v>
      </c>
      <c r="E65" s="279" t="s">
        <v>3344</v>
      </c>
      <c r="F65" s="279" t="s">
        <v>3345</v>
      </c>
      <c r="G65" s="279" t="s">
        <v>3346</v>
      </c>
      <c r="H65" s="29" t="s">
        <v>3347</v>
      </c>
      <c r="I65" s="280"/>
      <c r="J65" s="279"/>
    </row>
    <row r="66" spans="1:10" ht="21" customHeight="1">
      <c r="A66" s="278" t="s">
        <v>455</v>
      </c>
      <c r="B66" s="278" t="s">
        <v>48</v>
      </c>
      <c r="C66" s="278" t="s">
        <v>29</v>
      </c>
      <c r="D66" s="278" t="s">
        <v>3241</v>
      </c>
      <c r="E66" s="279" t="s">
        <v>3348</v>
      </c>
      <c r="F66" s="279" t="s">
        <v>3349</v>
      </c>
      <c r="G66" s="279" t="s">
        <v>3350</v>
      </c>
      <c r="H66" s="29" t="s">
        <v>3351</v>
      </c>
      <c r="I66" s="280"/>
      <c r="J66" s="279"/>
    </row>
    <row r="67" spans="1:10" ht="21" customHeight="1">
      <c r="A67" s="278" t="s">
        <v>459</v>
      </c>
      <c r="B67" s="278" t="s">
        <v>48</v>
      </c>
      <c r="C67" s="278" t="s">
        <v>29</v>
      </c>
      <c r="D67" s="278" t="s">
        <v>3241</v>
      </c>
      <c r="E67" s="279" t="s">
        <v>3352</v>
      </c>
      <c r="F67" s="279" t="s">
        <v>3353</v>
      </c>
      <c r="G67" s="279" t="s">
        <v>3354</v>
      </c>
      <c r="H67" s="29" t="s">
        <v>3355</v>
      </c>
      <c r="I67" s="280"/>
      <c r="J67" s="279"/>
    </row>
    <row r="68" spans="1:10" ht="21" customHeight="1">
      <c r="A68" s="278" t="s">
        <v>465</v>
      </c>
      <c r="B68" s="278" t="s">
        <v>48</v>
      </c>
      <c r="C68" s="278" t="s">
        <v>29</v>
      </c>
      <c r="D68" s="278" t="s">
        <v>3241</v>
      </c>
      <c r="E68" s="279" t="s">
        <v>3356</v>
      </c>
      <c r="F68" s="279" t="s">
        <v>3357</v>
      </c>
      <c r="G68" s="279" t="s">
        <v>3358</v>
      </c>
      <c r="H68" s="29" t="s">
        <v>3359</v>
      </c>
      <c r="I68" s="280"/>
      <c r="J68" s="279"/>
    </row>
    <row r="69" spans="1:10" ht="21" customHeight="1">
      <c r="A69" s="278" t="s">
        <v>774</v>
      </c>
      <c r="B69" s="278" t="s">
        <v>48</v>
      </c>
      <c r="C69" s="278" t="s">
        <v>29</v>
      </c>
      <c r="D69" s="278" t="s">
        <v>3241</v>
      </c>
      <c r="E69" s="279" t="s">
        <v>3360</v>
      </c>
      <c r="F69" s="279" t="s">
        <v>3333</v>
      </c>
      <c r="G69" s="279" t="s">
        <v>3334</v>
      </c>
      <c r="H69" s="29" t="s">
        <v>3361</v>
      </c>
      <c r="I69" s="280"/>
      <c r="J69" s="279"/>
    </row>
    <row r="70" spans="1:10" ht="21" customHeight="1">
      <c r="A70" s="278" t="s">
        <v>471</v>
      </c>
      <c r="B70" s="278" t="s">
        <v>48</v>
      </c>
      <c r="C70" s="278" t="s">
        <v>29</v>
      </c>
      <c r="D70" s="278" t="s">
        <v>3241</v>
      </c>
      <c r="E70" s="279" t="s">
        <v>3362</v>
      </c>
      <c r="F70" s="279" t="s">
        <v>3363</v>
      </c>
      <c r="G70" s="279" t="s">
        <v>3364</v>
      </c>
      <c r="H70" s="29" t="s">
        <v>3365</v>
      </c>
      <c r="I70" s="280"/>
      <c r="J70" s="279"/>
    </row>
    <row r="71" spans="1:10" ht="21" customHeight="1">
      <c r="A71" s="278" t="s">
        <v>475</v>
      </c>
      <c r="B71" s="278" t="s">
        <v>48</v>
      </c>
      <c r="C71" s="278" t="s">
        <v>29</v>
      </c>
      <c r="D71" s="278" t="s">
        <v>3241</v>
      </c>
      <c r="E71" s="279" t="s">
        <v>3366</v>
      </c>
      <c r="F71" s="279" t="s">
        <v>3341</v>
      </c>
      <c r="G71" s="279" t="s">
        <v>3367</v>
      </c>
      <c r="H71" s="29" t="s">
        <v>3368</v>
      </c>
      <c r="I71" s="280"/>
      <c r="J71" s="279"/>
    </row>
    <row r="72" spans="1:10" ht="21" customHeight="1">
      <c r="A72" s="278" t="s">
        <v>479</v>
      </c>
      <c r="B72" s="278" t="s">
        <v>48</v>
      </c>
      <c r="C72" s="278" t="s">
        <v>29</v>
      </c>
      <c r="D72" s="278" t="s">
        <v>3241</v>
      </c>
      <c r="E72" s="279" t="s">
        <v>3369</v>
      </c>
      <c r="F72" s="279" t="s">
        <v>3370</v>
      </c>
      <c r="G72" s="279" t="s">
        <v>3371</v>
      </c>
      <c r="H72" s="29" t="s">
        <v>3372</v>
      </c>
      <c r="I72" s="280"/>
      <c r="J72" s="279"/>
    </row>
    <row r="73" spans="1:10" ht="21" customHeight="1">
      <c r="A73" s="278" t="s">
        <v>483</v>
      </c>
      <c r="B73" s="278" t="s">
        <v>48</v>
      </c>
      <c r="C73" s="278" t="s">
        <v>29</v>
      </c>
      <c r="D73" s="278" t="s">
        <v>3241</v>
      </c>
      <c r="E73" s="279" t="s">
        <v>3373</v>
      </c>
      <c r="F73" s="279" t="s">
        <v>3374</v>
      </c>
      <c r="G73" s="279" t="s">
        <v>3375</v>
      </c>
      <c r="H73" s="29" t="s">
        <v>3376</v>
      </c>
      <c r="I73" s="280"/>
      <c r="J73" s="279"/>
    </row>
    <row r="74" spans="1:10" ht="21" customHeight="1">
      <c r="A74" s="278" t="s">
        <v>796</v>
      </c>
      <c r="B74" s="278" t="s">
        <v>48</v>
      </c>
      <c r="C74" s="278" t="s">
        <v>29</v>
      </c>
      <c r="D74" s="278" t="s">
        <v>3241</v>
      </c>
      <c r="E74" s="279" t="s">
        <v>3377</v>
      </c>
      <c r="F74" s="279" t="s">
        <v>3378</v>
      </c>
      <c r="G74" s="279" t="s">
        <v>3379</v>
      </c>
      <c r="H74" s="29" t="s">
        <v>3380</v>
      </c>
      <c r="I74" s="286"/>
      <c r="J74" s="279"/>
    </row>
    <row r="75" spans="1:10" ht="21" customHeight="1">
      <c r="A75" s="278" t="s">
        <v>801</v>
      </c>
      <c r="B75" s="278" t="s">
        <v>48</v>
      </c>
      <c r="C75" s="278" t="s">
        <v>29</v>
      </c>
      <c r="D75" s="278" t="s">
        <v>3241</v>
      </c>
      <c r="E75" s="279" t="s">
        <v>3381</v>
      </c>
      <c r="F75" s="279" t="s">
        <v>3382</v>
      </c>
      <c r="G75" s="279" t="s">
        <v>3383</v>
      </c>
      <c r="H75" s="30" t="s">
        <v>3384</v>
      </c>
      <c r="I75" s="280"/>
      <c r="J75" s="287"/>
    </row>
    <row r="76" spans="1:10" ht="21" customHeight="1">
      <c r="A76" s="278" t="s">
        <v>806</v>
      </c>
      <c r="B76" s="278" t="s">
        <v>48</v>
      </c>
      <c r="C76" s="278" t="s">
        <v>29</v>
      </c>
      <c r="D76" s="278" t="s">
        <v>3241</v>
      </c>
      <c r="E76" s="279" t="s">
        <v>3385</v>
      </c>
      <c r="F76" s="279" t="s">
        <v>3333</v>
      </c>
      <c r="G76" s="279" t="s">
        <v>3386</v>
      </c>
      <c r="H76" s="30" t="s">
        <v>3387</v>
      </c>
      <c r="I76" s="280"/>
      <c r="J76" s="287"/>
    </row>
    <row r="77" spans="1:10" ht="21" customHeight="1">
      <c r="A77" s="278" t="s">
        <v>811</v>
      </c>
      <c r="B77" s="278" t="s">
        <v>48</v>
      </c>
      <c r="C77" s="278" t="s">
        <v>29</v>
      </c>
      <c r="D77" s="278" t="s">
        <v>3241</v>
      </c>
      <c r="E77" s="279" t="s">
        <v>3388</v>
      </c>
      <c r="F77" s="279" t="s">
        <v>3389</v>
      </c>
      <c r="G77" s="279" t="s">
        <v>3390</v>
      </c>
      <c r="H77" s="30" t="s">
        <v>3391</v>
      </c>
      <c r="I77" s="280"/>
      <c r="J77" s="287"/>
    </row>
    <row r="78" spans="1:10" ht="21" customHeight="1">
      <c r="A78" s="278" t="s">
        <v>816</v>
      </c>
      <c r="B78" s="278" t="s">
        <v>48</v>
      </c>
      <c r="C78" s="278" t="s">
        <v>29</v>
      </c>
      <c r="D78" s="278" t="s">
        <v>3241</v>
      </c>
      <c r="E78" s="279" t="s">
        <v>3392</v>
      </c>
      <c r="F78" s="279" t="s">
        <v>3341</v>
      </c>
      <c r="G78" s="279" t="s">
        <v>3393</v>
      </c>
      <c r="H78" s="29" t="s">
        <v>3394</v>
      </c>
      <c r="I78" s="288"/>
      <c r="J78" s="279"/>
    </row>
    <row r="79" spans="1:10" ht="21" customHeight="1">
      <c r="A79" s="278" t="s">
        <v>821</v>
      </c>
      <c r="B79" s="278" t="s">
        <v>48</v>
      </c>
      <c r="C79" s="278" t="s">
        <v>29</v>
      </c>
      <c r="D79" s="278" t="s">
        <v>3241</v>
      </c>
      <c r="E79" s="279" t="s">
        <v>3395</v>
      </c>
      <c r="F79" s="279" t="s">
        <v>3396</v>
      </c>
      <c r="G79" s="279" t="s">
        <v>3397</v>
      </c>
      <c r="H79" s="29" t="s">
        <v>3398</v>
      </c>
      <c r="I79" s="280"/>
      <c r="J79" s="279"/>
    </row>
    <row r="80" spans="1:10" ht="21" customHeight="1">
      <c r="A80" s="278" t="s">
        <v>826</v>
      </c>
      <c r="B80" s="278" t="s">
        <v>48</v>
      </c>
      <c r="C80" s="278" t="s">
        <v>29</v>
      </c>
      <c r="D80" s="278" t="s">
        <v>3241</v>
      </c>
      <c r="E80" s="279" t="s">
        <v>3399</v>
      </c>
      <c r="F80" s="279" t="s">
        <v>3400</v>
      </c>
      <c r="G80" s="279" t="s">
        <v>3401</v>
      </c>
      <c r="H80" s="29" t="s">
        <v>3402</v>
      </c>
      <c r="I80" s="280"/>
      <c r="J80" s="279"/>
    </row>
    <row r="81" spans="1:10" ht="21" customHeight="1">
      <c r="A81" s="278" t="s">
        <v>1205</v>
      </c>
      <c r="B81" s="278" t="s">
        <v>48</v>
      </c>
      <c r="C81" s="278" t="s">
        <v>29</v>
      </c>
      <c r="D81" s="278" t="s">
        <v>3241</v>
      </c>
      <c r="E81" s="279" t="s">
        <v>3403</v>
      </c>
      <c r="F81" s="279" t="s">
        <v>3404</v>
      </c>
      <c r="G81" s="279" t="s">
        <v>3405</v>
      </c>
      <c r="H81" s="29" t="s">
        <v>3406</v>
      </c>
      <c r="I81" s="280"/>
      <c r="J81" s="279"/>
    </row>
    <row r="82" spans="1:10" ht="21" customHeight="1">
      <c r="A82" s="278" t="s">
        <v>1211</v>
      </c>
      <c r="B82" s="278" t="s">
        <v>48</v>
      </c>
      <c r="C82" s="278" t="s">
        <v>29</v>
      </c>
      <c r="D82" s="278" t="s">
        <v>3241</v>
      </c>
      <c r="E82" s="279" t="s">
        <v>3407</v>
      </c>
      <c r="F82" s="279" t="s">
        <v>3408</v>
      </c>
      <c r="G82" s="279" t="s">
        <v>3409</v>
      </c>
      <c r="H82" s="29" t="s">
        <v>3410</v>
      </c>
      <c r="I82" s="280"/>
      <c r="J82" s="279"/>
    </row>
    <row r="83" spans="1:10" ht="21" customHeight="1">
      <c r="A83" s="278" t="s">
        <v>1217</v>
      </c>
      <c r="B83" s="278" t="s">
        <v>48</v>
      </c>
      <c r="C83" s="278" t="s">
        <v>29</v>
      </c>
      <c r="D83" s="278" t="s">
        <v>3241</v>
      </c>
      <c r="E83" s="279" t="s">
        <v>3411</v>
      </c>
      <c r="F83" s="279" t="s">
        <v>3333</v>
      </c>
      <c r="G83" s="279" t="s">
        <v>3412</v>
      </c>
      <c r="H83" s="29" t="s">
        <v>3413</v>
      </c>
      <c r="I83" s="280"/>
      <c r="J83" s="279"/>
    </row>
    <row r="84" spans="1:10" ht="21" customHeight="1">
      <c r="A84" s="278" t="s">
        <v>1223</v>
      </c>
      <c r="B84" s="278" t="s">
        <v>48</v>
      </c>
      <c r="C84" s="278" t="s">
        <v>29</v>
      </c>
      <c r="D84" s="278" t="s">
        <v>3241</v>
      </c>
      <c r="E84" s="279" t="s">
        <v>3414</v>
      </c>
      <c r="F84" s="279" t="s">
        <v>3415</v>
      </c>
      <c r="G84" s="279" t="s">
        <v>3416</v>
      </c>
      <c r="H84" s="29" t="s">
        <v>3417</v>
      </c>
      <c r="I84" s="280"/>
      <c r="J84" s="279"/>
    </row>
    <row r="85" spans="1:10" ht="21" customHeight="1">
      <c r="A85" s="278" t="s">
        <v>1229</v>
      </c>
      <c r="B85" s="278" t="s">
        <v>48</v>
      </c>
      <c r="C85" s="278" t="s">
        <v>29</v>
      </c>
      <c r="D85" s="278" t="s">
        <v>3241</v>
      </c>
      <c r="E85" s="279" t="s">
        <v>3418</v>
      </c>
      <c r="F85" s="279" t="s">
        <v>3341</v>
      </c>
      <c r="G85" s="279" t="s">
        <v>3419</v>
      </c>
      <c r="H85" s="29" t="s">
        <v>3420</v>
      </c>
      <c r="I85" s="280"/>
      <c r="J85" s="279"/>
    </row>
    <row r="86" spans="1:10" ht="21" customHeight="1">
      <c r="A86" s="278" t="s">
        <v>1234</v>
      </c>
      <c r="B86" s="278" t="s">
        <v>48</v>
      </c>
      <c r="C86" s="278" t="s">
        <v>29</v>
      </c>
      <c r="D86" s="278" t="s">
        <v>3241</v>
      </c>
      <c r="E86" s="279" t="s">
        <v>3421</v>
      </c>
      <c r="F86" s="279" t="s">
        <v>3422</v>
      </c>
      <c r="G86" s="279" t="s">
        <v>3423</v>
      </c>
      <c r="H86" s="29" t="s">
        <v>3424</v>
      </c>
      <c r="I86" s="280"/>
      <c r="J86" s="279"/>
    </row>
    <row r="87" spans="1:10" ht="21" customHeight="1">
      <c r="A87" s="278" t="s">
        <v>1239</v>
      </c>
      <c r="B87" s="278" t="s">
        <v>48</v>
      </c>
      <c r="C87" s="278" t="s">
        <v>29</v>
      </c>
      <c r="D87" s="278" t="s">
        <v>3241</v>
      </c>
      <c r="E87" s="279" t="s">
        <v>3425</v>
      </c>
      <c r="F87" s="279" t="s">
        <v>3426</v>
      </c>
      <c r="G87" s="279" t="s">
        <v>3427</v>
      </c>
      <c r="H87" s="29" t="s">
        <v>3428</v>
      </c>
      <c r="I87" s="280"/>
      <c r="J87" s="279"/>
    </row>
    <row r="88" spans="1:10" ht="21" customHeight="1">
      <c r="A88" s="278" t="s">
        <v>1244</v>
      </c>
      <c r="B88" s="278" t="s">
        <v>48</v>
      </c>
      <c r="C88" s="278" t="s">
        <v>29</v>
      </c>
      <c r="D88" s="278" t="s">
        <v>3241</v>
      </c>
      <c r="E88" s="279" t="s">
        <v>3429</v>
      </c>
      <c r="F88" s="279" t="s">
        <v>3430</v>
      </c>
      <c r="G88" s="279" t="s">
        <v>3431</v>
      </c>
      <c r="H88" s="29" t="s">
        <v>3432</v>
      </c>
      <c r="I88" s="280"/>
      <c r="J88" s="279"/>
    </row>
    <row r="89" spans="1:10" ht="21" customHeight="1">
      <c r="A89" s="278" t="s">
        <v>1250</v>
      </c>
      <c r="B89" s="278" t="s">
        <v>48</v>
      </c>
      <c r="C89" s="278" t="s">
        <v>29</v>
      </c>
      <c r="D89" s="278" t="s">
        <v>3241</v>
      </c>
      <c r="E89" s="279" t="s">
        <v>3433</v>
      </c>
      <c r="F89" s="279" t="s">
        <v>3434</v>
      </c>
      <c r="G89" s="279" t="s">
        <v>3435</v>
      </c>
      <c r="H89" s="29" t="s">
        <v>3436</v>
      </c>
      <c r="I89" s="280"/>
      <c r="J89" s="279"/>
    </row>
    <row r="90" spans="1:10" ht="21" customHeight="1">
      <c r="A90" s="278" t="s">
        <v>1257</v>
      </c>
      <c r="B90" s="278" t="s">
        <v>48</v>
      </c>
      <c r="C90" s="278" t="s">
        <v>29</v>
      </c>
      <c r="D90" s="278" t="s">
        <v>3241</v>
      </c>
      <c r="E90" s="279" t="s">
        <v>3437</v>
      </c>
      <c r="F90" s="279" t="s">
        <v>3333</v>
      </c>
      <c r="G90" s="279" t="s">
        <v>3438</v>
      </c>
      <c r="H90" s="29"/>
      <c r="I90" s="280"/>
      <c r="J90" s="279"/>
    </row>
    <row r="91" spans="1:10" ht="21" customHeight="1">
      <c r="A91" s="278" t="s">
        <v>1262</v>
      </c>
      <c r="B91" s="278" t="s">
        <v>48</v>
      </c>
      <c r="C91" s="278" t="s">
        <v>29</v>
      </c>
      <c r="D91" s="278" t="s">
        <v>3241</v>
      </c>
      <c r="E91" s="279" t="s">
        <v>3439</v>
      </c>
      <c r="F91" s="279" t="s">
        <v>3440</v>
      </c>
      <c r="G91" s="279" t="s">
        <v>3441</v>
      </c>
      <c r="H91" s="29"/>
      <c r="I91" s="280"/>
      <c r="J91" s="289"/>
    </row>
    <row r="92" spans="1:10" ht="21" customHeight="1">
      <c r="A92" s="278" t="s">
        <v>1268</v>
      </c>
      <c r="B92" s="278" t="s">
        <v>48</v>
      </c>
      <c r="C92" s="278" t="s">
        <v>29</v>
      </c>
      <c r="D92" s="278" t="s">
        <v>3241</v>
      </c>
      <c r="E92" s="279" t="s">
        <v>3442</v>
      </c>
      <c r="F92" s="279" t="s">
        <v>3341</v>
      </c>
      <c r="G92" s="279" t="s">
        <v>3443</v>
      </c>
      <c r="H92" s="29" t="s">
        <v>3444</v>
      </c>
      <c r="I92" s="280"/>
      <c r="J92" s="279"/>
    </row>
    <row r="93" spans="1:10" ht="21" customHeight="1">
      <c r="A93" s="278" t="s">
        <v>1274</v>
      </c>
      <c r="B93" s="278" t="s">
        <v>48</v>
      </c>
      <c r="C93" s="278" t="s">
        <v>29</v>
      </c>
      <c r="D93" s="278" t="s">
        <v>3241</v>
      </c>
      <c r="E93" s="279" t="s">
        <v>3445</v>
      </c>
      <c r="F93" s="279" t="s">
        <v>3446</v>
      </c>
      <c r="G93" s="279" t="s">
        <v>3447</v>
      </c>
      <c r="H93" s="29" t="s">
        <v>3448</v>
      </c>
      <c r="I93" s="280"/>
      <c r="J93" s="279"/>
    </row>
    <row r="94" spans="1:10" ht="21" customHeight="1">
      <c r="A94" s="278" t="s">
        <v>1280</v>
      </c>
      <c r="B94" s="278" t="s">
        <v>48</v>
      </c>
      <c r="C94" s="278" t="s">
        <v>29</v>
      </c>
      <c r="D94" s="278" t="s">
        <v>3241</v>
      </c>
      <c r="E94" s="279" t="s">
        <v>3449</v>
      </c>
      <c r="F94" s="279" t="s">
        <v>3450</v>
      </c>
      <c r="G94" s="279" t="s">
        <v>3451</v>
      </c>
      <c r="H94" s="29" t="s">
        <v>3452</v>
      </c>
      <c r="I94" s="280"/>
      <c r="J94" s="279"/>
    </row>
    <row r="95" spans="1:10" ht="21" customHeight="1">
      <c r="A95" s="278" t="s">
        <v>1286</v>
      </c>
      <c r="B95" s="278" t="s">
        <v>48</v>
      </c>
      <c r="C95" s="278" t="s">
        <v>29</v>
      </c>
      <c r="D95" s="278" t="s">
        <v>3241</v>
      </c>
      <c r="E95" s="279" t="s">
        <v>3453</v>
      </c>
      <c r="F95" s="279" t="s">
        <v>3454</v>
      </c>
      <c r="G95" s="279" t="s">
        <v>3455</v>
      </c>
      <c r="H95" s="29" t="s">
        <v>3456</v>
      </c>
      <c r="I95" s="280"/>
      <c r="J95" s="279"/>
    </row>
    <row r="96" spans="1:10" ht="21" customHeight="1">
      <c r="A96" s="278" t="s">
        <v>1292</v>
      </c>
      <c r="B96" s="278" t="s">
        <v>48</v>
      </c>
      <c r="C96" s="278" t="s">
        <v>29</v>
      </c>
      <c r="D96" s="278" t="s">
        <v>3241</v>
      </c>
      <c r="E96" s="279" t="s">
        <v>3457</v>
      </c>
      <c r="F96" s="279" t="s">
        <v>3458</v>
      </c>
      <c r="G96" s="279" t="s">
        <v>3459</v>
      </c>
      <c r="H96" s="29" t="s">
        <v>3460</v>
      </c>
      <c r="I96" s="280"/>
      <c r="J96" s="279"/>
    </row>
    <row r="97" spans="1:10" ht="21" customHeight="1">
      <c r="A97" s="278" t="s">
        <v>1298</v>
      </c>
      <c r="B97" s="278" t="s">
        <v>48</v>
      </c>
      <c r="C97" s="278" t="s">
        <v>29</v>
      </c>
      <c r="D97" s="278" t="s">
        <v>3241</v>
      </c>
      <c r="E97" s="279" t="s">
        <v>3461</v>
      </c>
      <c r="F97" s="279" t="s">
        <v>3462</v>
      </c>
      <c r="G97" s="279" t="s">
        <v>3463</v>
      </c>
      <c r="H97" s="29" t="s">
        <v>3464</v>
      </c>
      <c r="I97" s="280"/>
      <c r="J97" s="279"/>
    </row>
    <row r="98" spans="1:10" ht="21" customHeight="1">
      <c r="A98" s="278" t="s">
        <v>1304</v>
      </c>
      <c r="B98" s="278" t="s">
        <v>48</v>
      </c>
      <c r="C98" s="278" t="s">
        <v>29</v>
      </c>
      <c r="D98" s="278" t="s">
        <v>3241</v>
      </c>
      <c r="E98" s="279" t="s">
        <v>3465</v>
      </c>
      <c r="F98" s="279" t="s">
        <v>3466</v>
      </c>
      <c r="G98" s="279" t="s">
        <v>3467</v>
      </c>
      <c r="H98" s="29" t="s">
        <v>3468</v>
      </c>
      <c r="I98" s="280"/>
      <c r="J98" s="279"/>
    </row>
    <row r="99" spans="1:10" ht="21" customHeight="1">
      <c r="A99" s="278" t="s">
        <v>1310</v>
      </c>
      <c r="B99" s="278" t="s">
        <v>48</v>
      </c>
      <c r="C99" s="278" t="s">
        <v>29</v>
      </c>
      <c r="D99" s="278" t="s">
        <v>3241</v>
      </c>
      <c r="E99" s="279" t="s">
        <v>3469</v>
      </c>
      <c r="F99" s="279" t="s">
        <v>3470</v>
      </c>
      <c r="G99" s="279" t="s">
        <v>3471</v>
      </c>
      <c r="H99" s="29" t="s">
        <v>3472</v>
      </c>
      <c r="I99" s="280"/>
      <c r="J99" s="279"/>
    </row>
    <row r="100" spans="1:10" ht="21" customHeight="1">
      <c r="A100" s="278" t="s">
        <v>1316</v>
      </c>
      <c r="B100" s="278" t="s">
        <v>48</v>
      </c>
      <c r="C100" s="278" t="s">
        <v>29</v>
      </c>
      <c r="D100" s="278" t="s">
        <v>3241</v>
      </c>
      <c r="E100" s="279" t="s">
        <v>3473</v>
      </c>
      <c r="F100" s="279" t="s">
        <v>3474</v>
      </c>
      <c r="G100" s="279" t="s">
        <v>3475</v>
      </c>
      <c r="H100" s="29" t="s">
        <v>3476</v>
      </c>
      <c r="I100" s="280"/>
      <c r="J100" s="279"/>
    </row>
    <row r="101" spans="1:10" ht="21" customHeight="1">
      <c r="A101" s="278" t="s">
        <v>1322</v>
      </c>
      <c r="B101" s="278" t="s">
        <v>48</v>
      </c>
      <c r="C101" s="278" t="s">
        <v>29</v>
      </c>
      <c r="D101" s="278" t="s">
        <v>3241</v>
      </c>
      <c r="E101" s="279" t="s">
        <v>3477</v>
      </c>
      <c r="F101" s="279" t="s">
        <v>3478</v>
      </c>
      <c r="G101" s="279" t="s">
        <v>3479</v>
      </c>
      <c r="H101" s="29" t="s">
        <v>3480</v>
      </c>
      <c r="I101" s="280"/>
      <c r="J101" s="279"/>
    </row>
    <row r="102" spans="1:10" ht="21" customHeight="1">
      <c r="A102" s="278" t="s">
        <v>1328</v>
      </c>
      <c r="B102" s="278" t="s">
        <v>48</v>
      </c>
      <c r="C102" s="278" t="s">
        <v>3481</v>
      </c>
      <c r="D102" s="278" t="s">
        <v>3482</v>
      </c>
      <c r="E102" s="279" t="s">
        <v>3483</v>
      </c>
      <c r="F102" s="279" t="s">
        <v>3484</v>
      </c>
      <c r="G102" s="279" t="s">
        <v>3485</v>
      </c>
      <c r="H102" s="29" t="s">
        <v>3486</v>
      </c>
      <c r="I102" s="280"/>
      <c r="J102" s="282"/>
    </row>
    <row r="103" spans="1:10" ht="21" customHeight="1">
      <c r="A103" s="278" t="s">
        <v>1335</v>
      </c>
      <c r="B103" s="278" t="s">
        <v>48</v>
      </c>
      <c r="C103" s="278" t="s">
        <v>3481</v>
      </c>
      <c r="D103" s="278" t="s">
        <v>3487</v>
      </c>
      <c r="E103" s="279" t="s">
        <v>3488</v>
      </c>
      <c r="F103" s="279" t="s">
        <v>3489</v>
      </c>
      <c r="G103" s="279" t="s">
        <v>3490</v>
      </c>
      <c r="H103" s="29" t="s">
        <v>3491</v>
      </c>
      <c r="I103" s="280"/>
      <c r="J103" s="282"/>
    </row>
  </sheetData>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44"/>
  <sheetViews>
    <sheetView topLeftCell="D1" zoomScaleNormal="100" workbookViewId="0">
      <selection activeCell="I9" sqref="I9"/>
    </sheetView>
  </sheetViews>
  <sheetFormatPr defaultColWidth="9.28515625" defaultRowHeight="40.5" customHeight="1"/>
  <cols>
    <col min="1" max="1" width="7" style="40" customWidth="1"/>
    <col min="2" max="2" width="13.140625" style="40" customWidth="1"/>
    <col min="3" max="3" width="17.42578125" style="40" customWidth="1"/>
    <col min="4" max="4" width="16.28515625" style="40" customWidth="1"/>
    <col min="5" max="5" width="51.5703125" style="41" customWidth="1"/>
    <col min="6" max="6" width="19.5703125" style="40" customWidth="1"/>
    <col min="7" max="7" width="31" style="40" customWidth="1"/>
    <col min="8" max="8" width="30.140625" style="41" customWidth="1"/>
    <col min="9" max="9" width="9.28515625" style="12" customWidth="1"/>
    <col min="10" max="10" width="15.42578125" style="40" customWidth="1"/>
    <col min="11" max="11" width="18.85546875" style="40" customWidth="1"/>
    <col min="12" max="17" width="9.28515625" style="40" customWidth="1"/>
    <col min="18" max="16384" width="9.28515625" style="40"/>
  </cols>
  <sheetData>
    <row r="1" spans="1:11" s="38" customFormat="1" ht="40.5" customHeight="1">
      <c r="A1" s="177" t="s">
        <v>37</v>
      </c>
      <c r="B1" s="177" t="s">
        <v>38</v>
      </c>
      <c r="C1" s="177" t="s">
        <v>39</v>
      </c>
      <c r="D1" s="177" t="s">
        <v>40</v>
      </c>
      <c r="E1" s="178" t="s">
        <v>41</v>
      </c>
      <c r="F1" s="178" t="s">
        <v>42</v>
      </c>
      <c r="G1" s="179" t="s">
        <v>43</v>
      </c>
      <c r="H1" s="177" t="s">
        <v>1863</v>
      </c>
      <c r="I1" s="224" t="s">
        <v>45</v>
      </c>
      <c r="J1" s="172" t="s">
        <v>46</v>
      </c>
      <c r="K1" s="180"/>
    </row>
    <row r="2" spans="1:11" ht="40.5" customHeight="1">
      <c r="A2" s="181" t="s">
        <v>47</v>
      </c>
      <c r="B2" s="181" t="s">
        <v>48</v>
      </c>
      <c r="C2" s="181" t="s">
        <v>30</v>
      </c>
      <c r="D2" s="181" t="s">
        <v>30</v>
      </c>
      <c r="E2" s="79" t="s">
        <v>3492</v>
      </c>
      <c r="F2" s="79" t="s">
        <v>3493</v>
      </c>
      <c r="G2" s="79" t="s">
        <v>3494</v>
      </c>
      <c r="H2" s="79"/>
      <c r="I2" s="80"/>
      <c r="J2" s="79"/>
      <c r="K2" s="182"/>
    </row>
    <row r="3" spans="1:11" s="39" customFormat="1" ht="40.5" customHeight="1">
      <c r="A3" s="181" t="s">
        <v>55</v>
      </c>
      <c r="B3" s="181" t="s">
        <v>48</v>
      </c>
      <c r="C3" s="181" t="s">
        <v>30</v>
      </c>
      <c r="D3" s="181" t="s">
        <v>30</v>
      </c>
      <c r="E3" s="79" t="s">
        <v>3125</v>
      </c>
      <c r="F3" s="79" t="s">
        <v>3495</v>
      </c>
      <c r="G3" s="79" t="s">
        <v>3496</v>
      </c>
      <c r="H3" s="79" t="s">
        <v>3497</v>
      </c>
      <c r="I3" s="176"/>
      <c r="J3" s="79"/>
      <c r="K3" s="183"/>
    </row>
    <row r="4" spans="1:11" s="39" customFormat="1" ht="40.5" customHeight="1">
      <c r="A4" s="181" t="s">
        <v>60</v>
      </c>
      <c r="B4" s="181" t="s">
        <v>48</v>
      </c>
      <c r="C4" s="181" t="s">
        <v>30</v>
      </c>
      <c r="D4" s="181" t="s">
        <v>30</v>
      </c>
      <c r="E4" s="79" t="s">
        <v>3498</v>
      </c>
      <c r="F4" s="79" t="s">
        <v>3499</v>
      </c>
      <c r="G4" s="79" t="s">
        <v>3500</v>
      </c>
      <c r="H4" s="79" t="s">
        <v>3501</v>
      </c>
      <c r="I4" s="80"/>
      <c r="J4" s="181"/>
      <c r="K4" s="183"/>
    </row>
    <row r="5" spans="1:11" s="39" customFormat="1" ht="40.5" customHeight="1">
      <c r="A5" s="181" t="s">
        <v>65</v>
      </c>
      <c r="B5" s="181" t="s">
        <v>48</v>
      </c>
      <c r="C5" s="181" t="s">
        <v>30</v>
      </c>
      <c r="D5" s="181" t="s">
        <v>30</v>
      </c>
      <c r="E5" s="79" t="s">
        <v>3502</v>
      </c>
      <c r="F5" s="79" t="s">
        <v>3503</v>
      </c>
      <c r="G5" s="79" t="s">
        <v>3504</v>
      </c>
      <c r="H5" s="79" t="s">
        <v>3505</v>
      </c>
      <c r="I5" s="80"/>
      <c r="J5" s="181"/>
      <c r="K5" s="183"/>
    </row>
    <row r="6" spans="1:11" s="39" customFormat="1" ht="40.5" customHeight="1">
      <c r="A6" s="181" t="s">
        <v>70</v>
      </c>
      <c r="B6" s="181" t="s">
        <v>48</v>
      </c>
      <c r="C6" s="181" t="s">
        <v>30</v>
      </c>
      <c r="D6" s="181" t="s">
        <v>30</v>
      </c>
      <c r="E6" s="79" t="s">
        <v>3506</v>
      </c>
      <c r="F6" s="79" t="s">
        <v>3507</v>
      </c>
      <c r="G6" s="79" t="s">
        <v>3508</v>
      </c>
      <c r="H6" s="79" t="s">
        <v>3509</v>
      </c>
      <c r="I6" s="176"/>
      <c r="J6" s="79"/>
      <c r="K6" s="183"/>
    </row>
    <row r="7" spans="1:11" s="39" customFormat="1" ht="40.5" customHeight="1">
      <c r="A7" s="181" t="s">
        <v>74</v>
      </c>
      <c r="B7" s="181" t="s">
        <v>48</v>
      </c>
      <c r="C7" s="181" t="s">
        <v>30</v>
      </c>
      <c r="D7" s="181" t="s">
        <v>30</v>
      </c>
      <c r="E7" s="79" t="s">
        <v>3510</v>
      </c>
      <c r="F7" s="79" t="s">
        <v>3511</v>
      </c>
      <c r="G7" s="79" t="s">
        <v>3512</v>
      </c>
      <c r="H7" s="79" t="s">
        <v>3513</v>
      </c>
      <c r="I7" s="80"/>
      <c r="J7" s="181"/>
      <c r="K7" s="183"/>
    </row>
    <row r="8" spans="1:11" s="39" customFormat="1" ht="40.5" customHeight="1">
      <c r="A8" s="181" t="s">
        <v>79</v>
      </c>
      <c r="B8" s="181" t="s">
        <v>48</v>
      </c>
      <c r="C8" s="181" t="s">
        <v>30</v>
      </c>
      <c r="D8" s="181" t="s">
        <v>30</v>
      </c>
      <c r="E8" s="79" t="s">
        <v>3514</v>
      </c>
      <c r="F8" s="79" t="s">
        <v>3515</v>
      </c>
      <c r="G8" s="79" t="s">
        <v>3516</v>
      </c>
      <c r="H8" s="79" t="s">
        <v>3517</v>
      </c>
      <c r="I8" s="176"/>
      <c r="J8" s="181"/>
      <c r="K8" s="183"/>
    </row>
    <row r="9" spans="1:11" s="39" customFormat="1" ht="40.5" customHeight="1">
      <c r="A9" s="181" t="s">
        <v>84</v>
      </c>
      <c r="B9" s="181" t="s">
        <v>48</v>
      </c>
      <c r="C9" s="181" t="s">
        <v>30</v>
      </c>
      <c r="D9" s="181" t="s">
        <v>30</v>
      </c>
      <c r="E9" s="79" t="s">
        <v>3518</v>
      </c>
      <c r="F9" s="79" t="s">
        <v>3519</v>
      </c>
      <c r="G9" s="79" t="s">
        <v>3520</v>
      </c>
      <c r="H9" s="79" t="s">
        <v>3521</v>
      </c>
      <c r="I9" s="80"/>
      <c r="J9" s="181"/>
      <c r="K9" s="183"/>
    </row>
    <row r="10" spans="1:11" s="39" customFormat="1" ht="40.5" customHeight="1">
      <c r="A10" s="181" t="s">
        <v>89</v>
      </c>
      <c r="B10" s="181" t="s">
        <v>48</v>
      </c>
      <c r="C10" s="181" t="s">
        <v>30</v>
      </c>
      <c r="D10" s="181" t="s">
        <v>30</v>
      </c>
      <c r="E10" s="79" t="s">
        <v>3522</v>
      </c>
      <c r="F10" s="79" t="s">
        <v>3523</v>
      </c>
      <c r="G10" s="79" t="s">
        <v>3524</v>
      </c>
      <c r="H10" s="79" t="s">
        <v>3525</v>
      </c>
      <c r="I10" s="173"/>
      <c r="J10" s="184"/>
      <c r="K10" s="183"/>
    </row>
    <row r="11" spans="1:11" ht="40.5" customHeight="1">
      <c r="A11" s="181" t="s">
        <v>94</v>
      </c>
      <c r="B11" s="181" t="s">
        <v>48</v>
      </c>
      <c r="C11" s="181" t="s">
        <v>30</v>
      </c>
      <c r="D11" s="181" t="s">
        <v>30</v>
      </c>
      <c r="E11" s="79" t="s">
        <v>3526</v>
      </c>
      <c r="F11" s="79" t="s">
        <v>3527</v>
      </c>
      <c r="G11" s="79" t="s">
        <v>3528</v>
      </c>
      <c r="H11" s="79"/>
      <c r="I11" s="80"/>
      <c r="J11" s="44"/>
      <c r="K11" s="182" t="s">
        <v>3529</v>
      </c>
    </row>
    <row r="12" spans="1:11" s="39" customFormat="1" ht="40.5" customHeight="1">
      <c r="A12" s="181" t="s">
        <v>99</v>
      </c>
      <c r="B12" s="181" t="s">
        <v>48</v>
      </c>
      <c r="C12" s="181" t="s">
        <v>30</v>
      </c>
      <c r="D12" s="181" t="s">
        <v>30</v>
      </c>
      <c r="E12" s="79" t="s">
        <v>3530</v>
      </c>
      <c r="F12" s="79" t="s">
        <v>3531</v>
      </c>
      <c r="G12" s="79" t="s">
        <v>3532</v>
      </c>
      <c r="H12" s="79"/>
      <c r="I12" s="112"/>
      <c r="J12" s="225"/>
      <c r="K12" s="182" t="s">
        <v>3529</v>
      </c>
    </row>
    <row r="13" spans="1:11" ht="40.5" customHeight="1">
      <c r="A13" s="181" t="s">
        <v>103</v>
      </c>
      <c r="B13" s="181" t="s">
        <v>48</v>
      </c>
      <c r="C13" s="181" t="s">
        <v>30</v>
      </c>
      <c r="D13" s="181" t="s">
        <v>30</v>
      </c>
      <c r="E13" s="79" t="s">
        <v>3533</v>
      </c>
      <c r="F13" s="79" t="s">
        <v>3534</v>
      </c>
      <c r="G13" s="79" t="s">
        <v>3535</v>
      </c>
      <c r="H13" s="79"/>
      <c r="I13" s="80"/>
      <c r="J13" s="44"/>
      <c r="K13" s="182" t="s">
        <v>3529</v>
      </c>
    </row>
    <row r="14" spans="1:11" s="39" customFormat="1" ht="40.5" customHeight="1">
      <c r="A14" s="181" t="s">
        <v>108</v>
      </c>
      <c r="B14" s="181" t="s">
        <v>48</v>
      </c>
      <c r="C14" s="181" t="s">
        <v>30</v>
      </c>
      <c r="D14" s="181" t="s">
        <v>30</v>
      </c>
      <c r="E14" s="79" t="s">
        <v>3536</v>
      </c>
      <c r="F14" s="79" t="s">
        <v>3537</v>
      </c>
      <c r="G14" s="79" t="s">
        <v>3538</v>
      </c>
      <c r="H14" s="79" t="s">
        <v>3539</v>
      </c>
      <c r="I14" s="112"/>
      <c r="J14" s="44"/>
      <c r="K14" s="183"/>
    </row>
    <row r="15" spans="1:11" s="39" customFormat="1" ht="40.5" customHeight="1">
      <c r="A15" s="181" t="s">
        <v>112</v>
      </c>
      <c r="B15" s="181" t="s">
        <v>48</v>
      </c>
      <c r="C15" s="181" t="s">
        <v>30</v>
      </c>
      <c r="D15" s="181" t="s">
        <v>30</v>
      </c>
      <c r="E15" s="79" t="s">
        <v>766</v>
      </c>
      <c r="F15" s="79" t="s">
        <v>3540</v>
      </c>
      <c r="G15" s="79" t="s">
        <v>768</v>
      </c>
      <c r="H15" s="79" t="s">
        <v>3541</v>
      </c>
      <c r="I15" s="173"/>
      <c r="J15" s="185"/>
      <c r="K15" s="183"/>
    </row>
    <row r="16" spans="1:11" s="39" customFormat="1" ht="40.5" customHeight="1">
      <c r="A16" s="181" t="s">
        <v>118</v>
      </c>
      <c r="B16" s="181" t="s">
        <v>48</v>
      </c>
      <c r="C16" s="181" t="s">
        <v>30</v>
      </c>
      <c r="D16" s="181" t="s">
        <v>30</v>
      </c>
      <c r="E16" s="79" t="s">
        <v>3542</v>
      </c>
      <c r="F16" s="79" t="s">
        <v>3543</v>
      </c>
      <c r="G16" s="79" t="s">
        <v>3544</v>
      </c>
      <c r="H16" s="79" t="s">
        <v>3545</v>
      </c>
      <c r="I16" s="112"/>
      <c r="J16" s="44"/>
      <c r="K16" s="183"/>
    </row>
    <row r="17" spans="1:11" s="39" customFormat="1" ht="40.5" customHeight="1">
      <c r="A17" s="181" t="s">
        <v>124</v>
      </c>
      <c r="B17" s="181" t="s">
        <v>48</v>
      </c>
      <c r="C17" s="181" t="s">
        <v>30</v>
      </c>
      <c r="D17" s="181" t="s">
        <v>30</v>
      </c>
      <c r="E17" s="79" t="s">
        <v>3546</v>
      </c>
      <c r="F17" s="79" t="s">
        <v>3547</v>
      </c>
      <c r="G17" s="79" t="s">
        <v>3548</v>
      </c>
      <c r="H17" s="79" t="s">
        <v>3549</v>
      </c>
      <c r="I17" s="112"/>
      <c r="J17" s="44"/>
      <c r="K17" s="183"/>
    </row>
    <row r="18" spans="1:11" s="39" customFormat="1" ht="40.5" customHeight="1">
      <c r="A18" s="181" t="s">
        <v>129</v>
      </c>
      <c r="B18" s="181" t="s">
        <v>48</v>
      </c>
      <c r="C18" s="181" t="s">
        <v>30</v>
      </c>
      <c r="D18" s="181" t="s">
        <v>30</v>
      </c>
      <c r="E18" s="79" t="s">
        <v>3550</v>
      </c>
      <c r="F18" s="79" t="s">
        <v>3551</v>
      </c>
      <c r="G18" s="79" t="s">
        <v>3552</v>
      </c>
      <c r="H18" s="44" t="s">
        <v>3553</v>
      </c>
      <c r="I18" s="112"/>
      <c r="J18" s="44"/>
      <c r="K18" s="183"/>
    </row>
    <row r="19" spans="1:11" ht="40.5" customHeight="1">
      <c r="A19" s="181" t="s">
        <v>133</v>
      </c>
      <c r="B19" s="181" t="s">
        <v>48</v>
      </c>
      <c r="C19" s="181" t="s">
        <v>30</v>
      </c>
      <c r="D19" s="181" t="s">
        <v>30</v>
      </c>
      <c r="E19" s="79" t="s">
        <v>3554</v>
      </c>
      <c r="F19" s="79" t="s">
        <v>3555</v>
      </c>
      <c r="G19" s="79" t="s">
        <v>3556</v>
      </c>
      <c r="H19" s="79"/>
      <c r="I19" s="80"/>
      <c r="J19" s="44"/>
      <c r="K19" s="182"/>
    </row>
    <row r="20" spans="1:11" s="39" customFormat="1" ht="40.5" customHeight="1">
      <c r="A20" s="181" t="s">
        <v>137</v>
      </c>
      <c r="B20" s="181" t="s">
        <v>48</v>
      </c>
      <c r="C20" s="181" t="s">
        <v>30</v>
      </c>
      <c r="D20" s="181" t="s">
        <v>30</v>
      </c>
      <c r="E20" s="79" t="s">
        <v>3557</v>
      </c>
      <c r="F20" s="79" t="s">
        <v>3558</v>
      </c>
      <c r="G20" s="79" t="s">
        <v>3559</v>
      </c>
      <c r="H20" s="79" t="s">
        <v>3560</v>
      </c>
      <c r="I20" s="173"/>
      <c r="J20" s="44"/>
      <c r="K20" s="183"/>
    </row>
    <row r="21" spans="1:11" ht="40.5" customHeight="1">
      <c r="A21" s="181" t="s">
        <v>142</v>
      </c>
      <c r="B21" s="181" t="s">
        <v>48</v>
      </c>
      <c r="C21" s="181" t="s">
        <v>30</v>
      </c>
      <c r="D21" s="181" t="s">
        <v>30</v>
      </c>
      <c r="E21" s="79" t="s">
        <v>3561</v>
      </c>
      <c r="F21" s="79" t="s">
        <v>3562</v>
      </c>
      <c r="G21" s="79" t="s">
        <v>3563</v>
      </c>
      <c r="H21" s="79"/>
      <c r="I21" s="80"/>
      <c r="J21" s="44"/>
      <c r="K21" s="182"/>
    </row>
    <row r="22" spans="1:11" ht="40.5" customHeight="1">
      <c r="A22" s="181" t="s">
        <v>146</v>
      </c>
      <c r="B22" s="181" t="s">
        <v>48</v>
      </c>
      <c r="C22" s="181" t="s">
        <v>30</v>
      </c>
      <c r="D22" s="181" t="s">
        <v>30</v>
      </c>
      <c r="E22" s="79" t="s">
        <v>3564</v>
      </c>
      <c r="F22" s="79" t="s">
        <v>3565</v>
      </c>
      <c r="G22" s="79" t="s">
        <v>3566</v>
      </c>
      <c r="H22" s="164" t="s">
        <v>3567</v>
      </c>
      <c r="I22" s="80"/>
      <c r="J22" s="44"/>
      <c r="K22" s="182"/>
    </row>
    <row r="23" spans="1:11" s="39" customFormat="1" ht="40.5" customHeight="1">
      <c r="A23" s="181" t="s">
        <v>151</v>
      </c>
      <c r="B23" s="181" t="s">
        <v>48</v>
      </c>
      <c r="C23" s="181" t="s">
        <v>30</v>
      </c>
      <c r="D23" s="181" t="s">
        <v>30</v>
      </c>
      <c r="E23" s="79" t="s">
        <v>3568</v>
      </c>
      <c r="F23" s="79" t="s">
        <v>3569</v>
      </c>
      <c r="G23" s="79" t="s">
        <v>3570</v>
      </c>
      <c r="H23" s="79" t="s">
        <v>3571</v>
      </c>
      <c r="I23" s="80"/>
      <c r="J23" s="44"/>
      <c r="K23" s="183"/>
    </row>
    <row r="24" spans="1:11" s="39" customFormat="1" ht="40.5" customHeight="1">
      <c r="A24" s="181" t="s">
        <v>154</v>
      </c>
      <c r="B24" s="181" t="s">
        <v>48</v>
      </c>
      <c r="C24" s="181" t="s">
        <v>30</v>
      </c>
      <c r="D24" s="181" t="s">
        <v>30</v>
      </c>
      <c r="E24" s="79" t="s">
        <v>3572</v>
      </c>
      <c r="F24" s="79" t="s">
        <v>3573</v>
      </c>
      <c r="G24" s="79" t="s">
        <v>3574</v>
      </c>
      <c r="H24" s="79" t="s">
        <v>3575</v>
      </c>
      <c r="I24" s="112"/>
      <c r="J24" s="44"/>
      <c r="K24" s="183"/>
    </row>
    <row r="25" spans="1:11" ht="40.5" customHeight="1">
      <c r="A25" s="181" t="s">
        <v>158</v>
      </c>
      <c r="B25" s="181" t="s">
        <v>48</v>
      </c>
      <c r="C25" s="181" t="s">
        <v>30</v>
      </c>
      <c r="D25" s="181" t="s">
        <v>30</v>
      </c>
      <c r="E25" s="79" t="s">
        <v>3576</v>
      </c>
      <c r="F25" s="79" t="s">
        <v>3577</v>
      </c>
      <c r="G25" s="79" t="s">
        <v>3578</v>
      </c>
      <c r="H25" s="79"/>
      <c r="I25" s="80"/>
      <c r="J25" s="44"/>
      <c r="K25" s="182"/>
    </row>
    <row r="26" spans="1:11" ht="40.5" customHeight="1">
      <c r="A26" s="181" t="s">
        <v>164</v>
      </c>
      <c r="B26" s="181" t="s">
        <v>48</v>
      </c>
      <c r="C26" s="181" t="s">
        <v>30</v>
      </c>
      <c r="D26" s="181" t="s">
        <v>30</v>
      </c>
      <c r="E26" s="268" t="s">
        <v>3579</v>
      </c>
      <c r="F26" s="79" t="s">
        <v>3580</v>
      </c>
      <c r="G26" s="79" t="s">
        <v>3581</v>
      </c>
      <c r="H26" s="79"/>
      <c r="I26" s="80"/>
      <c r="J26" s="44"/>
      <c r="K26" s="182"/>
    </row>
    <row r="27" spans="1:11" s="39" customFormat="1" ht="40.5" customHeight="1">
      <c r="A27" s="181" t="s">
        <v>170</v>
      </c>
      <c r="B27" s="181" t="s">
        <v>48</v>
      </c>
      <c r="C27" s="181" t="s">
        <v>30</v>
      </c>
      <c r="D27" s="181" t="s">
        <v>30</v>
      </c>
      <c r="E27" s="79" t="s">
        <v>3582</v>
      </c>
      <c r="F27" s="79" t="s">
        <v>3583</v>
      </c>
      <c r="G27" s="79" t="s">
        <v>3584</v>
      </c>
      <c r="H27" s="79" t="s">
        <v>3585</v>
      </c>
      <c r="I27" s="80"/>
      <c r="J27" s="79"/>
      <c r="K27" s="183"/>
    </row>
    <row r="28" spans="1:11" s="39" customFormat="1" ht="40.5" customHeight="1">
      <c r="A28" s="181" t="s">
        <v>283</v>
      </c>
      <c r="B28" s="181" t="s">
        <v>48</v>
      </c>
      <c r="C28" s="181" t="s">
        <v>30</v>
      </c>
      <c r="D28" s="181" t="s">
        <v>30</v>
      </c>
      <c r="E28" s="79" t="s">
        <v>3586</v>
      </c>
      <c r="F28" s="79" t="s">
        <v>3587</v>
      </c>
      <c r="G28" s="79" t="s">
        <v>3588</v>
      </c>
      <c r="H28" s="268" t="s">
        <v>3589</v>
      </c>
      <c r="I28" s="80"/>
      <c r="J28" s="181"/>
      <c r="K28" s="183"/>
    </row>
    <row r="29" spans="1:11" s="39" customFormat="1" ht="40.5" customHeight="1">
      <c r="A29" s="181" t="s">
        <v>288</v>
      </c>
      <c r="B29" s="181" t="s">
        <v>48</v>
      </c>
      <c r="C29" s="181" t="s">
        <v>30</v>
      </c>
      <c r="D29" s="181" t="s">
        <v>30</v>
      </c>
      <c r="E29" s="79" t="s">
        <v>3590</v>
      </c>
      <c r="F29" s="79" t="s">
        <v>3591</v>
      </c>
      <c r="G29" s="79" t="s">
        <v>3592</v>
      </c>
      <c r="H29" s="268" t="s">
        <v>3593</v>
      </c>
      <c r="I29" s="176"/>
      <c r="J29" s="79"/>
      <c r="K29" s="183"/>
    </row>
    <row r="30" spans="1:11" s="39" customFormat="1" ht="40.5" customHeight="1">
      <c r="A30" s="181" t="s">
        <v>293</v>
      </c>
      <c r="B30" s="181" t="s">
        <v>48</v>
      </c>
      <c r="C30" s="181" t="s">
        <v>30</v>
      </c>
      <c r="D30" s="181" t="s">
        <v>30</v>
      </c>
      <c r="E30" s="79" t="s">
        <v>3594</v>
      </c>
      <c r="F30" s="79" t="s">
        <v>3595</v>
      </c>
      <c r="G30" s="79" t="s">
        <v>3596</v>
      </c>
      <c r="H30" s="79" t="s">
        <v>3597</v>
      </c>
      <c r="I30" s="80"/>
      <c r="J30" s="181"/>
      <c r="K30" s="183"/>
    </row>
    <row r="31" spans="1:11" s="39" customFormat="1" ht="40.5" customHeight="1">
      <c r="A31" s="181" t="s">
        <v>298</v>
      </c>
      <c r="B31" s="181" t="s">
        <v>48</v>
      </c>
      <c r="C31" s="181" t="s">
        <v>30</v>
      </c>
      <c r="D31" s="181" t="s">
        <v>30</v>
      </c>
      <c r="E31" s="79" t="s">
        <v>3598</v>
      </c>
      <c r="F31" s="79" t="s">
        <v>3599</v>
      </c>
      <c r="G31" s="79" t="s">
        <v>3600</v>
      </c>
      <c r="H31" s="79" t="s">
        <v>3601</v>
      </c>
      <c r="I31" s="80"/>
      <c r="J31" s="181"/>
      <c r="K31" s="183"/>
    </row>
    <row r="32" spans="1:11" s="39" customFormat="1" ht="40.5" customHeight="1">
      <c r="A32" s="181" t="s">
        <v>303</v>
      </c>
      <c r="B32" s="181" t="s">
        <v>48</v>
      </c>
      <c r="C32" s="181" t="s">
        <v>30</v>
      </c>
      <c r="D32" s="181" t="s">
        <v>30</v>
      </c>
      <c r="E32" s="79" t="s">
        <v>3602</v>
      </c>
      <c r="F32" s="79" t="s">
        <v>3603</v>
      </c>
      <c r="G32" s="79" t="s">
        <v>3604</v>
      </c>
      <c r="H32" s="79" t="s">
        <v>3605</v>
      </c>
      <c r="I32" s="80"/>
      <c r="J32" s="181"/>
      <c r="K32" s="183"/>
    </row>
    <row r="33" spans="1:11" s="39" customFormat="1" ht="40.5" customHeight="1">
      <c r="A33" s="181" t="s">
        <v>308</v>
      </c>
      <c r="B33" s="181" t="s">
        <v>48</v>
      </c>
      <c r="C33" s="181" t="s">
        <v>30</v>
      </c>
      <c r="D33" s="181" t="s">
        <v>30</v>
      </c>
      <c r="E33" s="79" t="s">
        <v>3606</v>
      </c>
      <c r="F33" s="79" t="s">
        <v>3607</v>
      </c>
      <c r="G33" s="79" t="s">
        <v>3608</v>
      </c>
      <c r="H33" s="79" t="s">
        <v>3609</v>
      </c>
      <c r="I33" s="80"/>
      <c r="J33" s="79"/>
      <c r="K33" s="183"/>
    </row>
    <row r="34" spans="1:11" s="39" customFormat="1" ht="40.5" customHeight="1">
      <c r="A34" s="181" t="s">
        <v>313</v>
      </c>
      <c r="B34" s="181" t="s">
        <v>48</v>
      </c>
      <c r="C34" s="181" t="s">
        <v>30</v>
      </c>
      <c r="D34" s="181" t="s">
        <v>30</v>
      </c>
      <c r="E34" s="79" t="s">
        <v>3610</v>
      </c>
      <c r="F34" s="79" t="s">
        <v>3611</v>
      </c>
      <c r="G34" s="79" t="s">
        <v>3612</v>
      </c>
      <c r="H34" s="79" t="s">
        <v>3613</v>
      </c>
      <c r="I34" s="80"/>
      <c r="J34" s="79"/>
      <c r="K34" s="183"/>
    </row>
    <row r="35" spans="1:11" ht="40.5" customHeight="1">
      <c r="A35" s="181" t="s">
        <v>318</v>
      </c>
      <c r="B35" s="181" t="s">
        <v>48</v>
      </c>
      <c r="C35" s="181" t="s">
        <v>30</v>
      </c>
      <c r="D35" s="181" t="s">
        <v>30</v>
      </c>
      <c r="E35" s="44" t="s">
        <v>3614</v>
      </c>
      <c r="F35" s="44" t="s">
        <v>3615</v>
      </c>
      <c r="G35" s="79" t="s">
        <v>3616</v>
      </c>
      <c r="H35" s="79"/>
      <c r="I35" s="80"/>
      <c r="J35" s="44"/>
      <c r="K35" s="182"/>
    </row>
    <row r="36" spans="1:11" s="39" customFormat="1" ht="40.5" customHeight="1">
      <c r="A36" s="181" t="s">
        <v>323</v>
      </c>
      <c r="B36" s="181" t="s">
        <v>48</v>
      </c>
      <c r="C36" s="181" t="s">
        <v>30</v>
      </c>
      <c r="D36" s="181" t="s">
        <v>30</v>
      </c>
      <c r="E36" s="79" t="s">
        <v>3617</v>
      </c>
      <c r="F36" s="44" t="s">
        <v>3618</v>
      </c>
      <c r="G36" s="79" t="s">
        <v>3619</v>
      </c>
      <c r="H36" s="79" t="s">
        <v>3620</v>
      </c>
      <c r="I36" s="112"/>
      <c r="J36" s="44"/>
      <c r="K36" s="183"/>
    </row>
    <row r="37" spans="1:11" s="39" customFormat="1" ht="40.5" customHeight="1">
      <c r="A37" s="181" t="s">
        <v>327</v>
      </c>
      <c r="B37" s="181" t="s">
        <v>48</v>
      </c>
      <c r="C37" s="181" t="s">
        <v>30</v>
      </c>
      <c r="D37" s="181" t="s">
        <v>30</v>
      </c>
      <c r="E37" s="79" t="s">
        <v>3621</v>
      </c>
      <c r="F37" s="44" t="s">
        <v>3622</v>
      </c>
      <c r="G37" s="79" t="s">
        <v>3033</v>
      </c>
      <c r="H37" s="79" t="s">
        <v>3623</v>
      </c>
      <c r="I37" s="112"/>
      <c r="J37" s="44"/>
      <c r="K37" s="183"/>
    </row>
    <row r="38" spans="1:11" s="39" customFormat="1" ht="40.5" customHeight="1">
      <c r="A38" s="181" t="s">
        <v>333</v>
      </c>
      <c r="B38" s="181" t="s">
        <v>48</v>
      </c>
      <c r="C38" s="181" t="s">
        <v>30</v>
      </c>
      <c r="D38" s="181" t="s">
        <v>30</v>
      </c>
      <c r="E38" s="79" t="s">
        <v>3624</v>
      </c>
      <c r="F38" s="44" t="s">
        <v>3625</v>
      </c>
      <c r="G38" s="79" t="s">
        <v>3626</v>
      </c>
      <c r="H38" s="79" t="s">
        <v>3627</v>
      </c>
      <c r="I38" s="80"/>
      <c r="J38" s="181"/>
      <c r="K38" s="183"/>
    </row>
    <row r="39" spans="1:11" ht="40.5" customHeight="1">
      <c r="A39" s="181" t="s">
        <v>338</v>
      </c>
      <c r="B39" s="181" t="s">
        <v>48</v>
      </c>
      <c r="C39" s="181" t="s">
        <v>30</v>
      </c>
      <c r="D39" s="181" t="s">
        <v>30</v>
      </c>
      <c r="E39" s="79" t="s">
        <v>3628</v>
      </c>
      <c r="F39" s="44" t="s">
        <v>3629</v>
      </c>
      <c r="G39" s="79" t="s">
        <v>3630</v>
      </c>
      <c r="H39" s="79"/>
      <c r="I39" s="80"/>
      <c r="J39" s="44"/>
      <c r="K39" s="182"/>
    </row>
    <row r="40" spans="1:11" s="39" customFormat="1" ht="40.5" customHeight="1">
      <c r="A40" s="181" t="s">
        <v>343</v>
      </c>
      <c r="B40" s="181" t="s">
        <v>48</v>
      </c>
      <c r="C40" s="181" t="s">
        <v>30</v>
      </c>
      <c r="D40" s="181" t="s">
        <v>30</v>
      </c>
      <c r="E40" s="79" t="s">
        <v>3631</v>
      </c>
      <c r="F40" s="44" t="s">
        <v>3632</v>
      </c>
      <c r="G40" s="79" t="s">
        <v>3633</v>
      </c>
      <c r="H40" s="44" t="s">
        <v>3634</v>
      </c>
      <c r="I40" s="80"/>
      <c r="J40" s="181"/>
      <c r="K40" s="183"/>
    </row>
    <row r="41" spans="1:11" ht="40.5" customHeight="1">
      <c r="A41" s="181" t="s">
        <v>349</v>
      </c>
      <c r="B41" s="181" t="s">
        <v>48</v>
      </c>
      <c r="C41" s="181" t="s">
        <v>30</v>
      </c>
      <c r="D41" s="181" t="s">
        <v>30</v>
      </c>
      <c r="E41" s="79" t="s">
        <v>3635</v>
      </c>
      <c r="F41" s="44" t="s">
        <v>3636</v>
      </c>
      <c r="G41" s="79" t="s">
        <v>3637</v>
      </c>
      <c r="H41" s="79"/>
      <c r="I41" s="80"/>
      <c r="J41" s="44"/>
      <c r="K41" s="182"/>
    </row>
    <row r="42" spans="1:11" s="39" customFormat="1" ht="40.5" customHeight="1">
      <c r="A42" s="181" t="s">
        <v>354</v>
      </c>
      <c r="B42" s="181" t="s">
        <v>48</v>
      </c>
      <c r="C42" s="181" t="s">
        <v>30</v>
      </c>
      <c r="D42" s="181" t="s">
        <v>30</v>
      </c>
      <c r="E42" s="79" t="s">
        <v>3638</v>
      </c>
      <c r="F42" s="79" t="s">
        <v>3639</v>
      </c>
      <c r="G42" s="79" t="s">
        <v>3640</v>
      </c>
      <c r="H42" s="44" t="s">
        <v>3641</v>
      </c>
      <c r="I42" s="112"/>
      <c r="J42" s="181"/>
      <c r="K42" s="183"/>
    </row>
    <row r="43" spans="1:11" ht="40.5" customHeight="1">
      <c r="A43" s="181" t="s">
        <v>359</v>
      </c>
      <c r="B43" s="181" t="s">
        <v>48</v>
      </c>
      <c r="C43" s="181" t="s">
        <v>30</v>
      </c>
      <c r="D43" s="181" t="s">
        <v>30</v>
      </c>
      <c r="E43" s="79" t="s">
        <v>3642</v>
      </c>
      <c r="F43" s="44" t="s">
        <v>3643</v>
      </c>
      <c r="G43" s="79" t="s">
        <v>3644</v>
      </c>
      <c r="H43" s="168" t="s">
        <v>3645</v>
      </c>
      <c r="I43" s="80"/>
      <c r="J43" s="44"/>
      <c r="K43" s="182"/>
    </row>
    <row r="44" spans="1:11" ht="40.5" customHeight="1">
      <c r="A44" s="181" t="s">
        <v>363</v>
      </c>
      <c r="B44" s="162" t="s">
        <v>48</v>
      </c>
      <c r="C44" s="162" t="s">
        <v>30</v>
      </c>
      <c r="D44" s="163" t="s">
        <v>3646</v>
      </c>
      <c r="E44" s="164" t="s">
        <v>3647</v>
      </c>
      <c r="F44" s="165" t="s">
        <v>3648</v>
      </c>
      <c r="G44" s="169" t="s">
        <v>3649</v>
      </c>
      <c r="H44" s="164" t="s">
        <v>3567</v>
      </c>
      <c r="I44" s="168"/>
      <c r="J44" s="186"/>
      <c r="K44" s="18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18"/>
  <sheetViews>
    <sheetView topLeftCell="E1" zoomScaleNormal="100" workbookViewId="0">
      <selection activeCell="H2" sqref="H2:J18"/>
    </sheetView>
  </sheetViews>
  <sheetFormatPr defaultColWidth="9" defaultRowHeight="33.75" customHeight="1"/>
  <cols>
    <col min="1" max="1" width="5.7109375" customWidth="1"/>
    <col min="2" max="2" width="10.85546875" customWidth="1"/>
    <col min="3" max="3" width="26.42578125" customWidth="1"/>
    <col min="4" max="4" width="23.140625" customWidth="1"/>
    <col min="5" max="5" width="46.140625" customWidth="1"/>
    <col min="6" max="6" width="37" customWidth="1"/>
    <col min="7" max="7" width="48.140625" customWidth="1"/>
    <col min="8" max="8" width="9.140625" customWidth="1"/>
    <col min="9" max="9" width="16.140625" customWidth="1"/>
    <col min="10" max="10" width="26.28515625" customWidth="1"/>
  </cols>
  <sheetData>
    <row r="1" spans="1:10" ht="33.75" customHeight="1">
      <c r="A1" s="137" t="s">
        <v>37</v>
      </c>
      <c r="B1" s="137" t="s">
        <v>38</v>
      </c>
      <c r="C1" s="137" t="s">
        <v>39</v>
      </c>
      <c r="D1" s="137" t="s">
        <v>40</v>
      </c>
      <c r="E1" s="24" t="s">
        <v>41</v>
      </c>
      <c r="F1" s="24" t="s">
        <v>42</v>
      </c>
      <c r="G1" s="25" t="s">
        <v>43</v>
      </c>
      <c r="H1" s="26" t="s">
        <v>44</v>
      </c>
      <c r="I1" s="138" t="s">
        <v>45</v>
      </c>
      <c r="J1" s="144" t="s">
        <v>46</v>
      </c>
    </row>
    <row r="2" spans="1:10" ht="33.75" customHeight="1">
      <c r="A2" s="7" t="s">
        <v>47</v>
      </c>
      <c r="B2" s="7" t="s">
        <v>48</v>
      </c>
      <c r="C2" s="7" t="s">
        <v>3650</v>
      </c>
      <c r="D2" s="7" t="s">
        <v>3651</v>
      </c>
      <c r="E2" s="27" t="s">
        <v>3652</v>
      </c>
      <c r="F2" s="9" t="s">
        <v>3653</v>
      </c>
      <c r="G2" s="27" t="s">
        <v>3654</v>
      </c>
      <c r="H2" s="28"/>
      <c r="I2" s="36"/>
      <c r="J2" s="37"/>
    </row>
    <row r="3" spans="1:10" ht="33.75" customHeight="1">
      <c r="A3" s="7" t="s">
        <v>55</v>
      </c>
      <c r="B3" s="7" t="s">
        <v>48</v>
      </c>
      <c r="C3" s="7" t="s">
        <v>3650</v>
      </c>
      <c r="D3" s="7" t="s">
        <v>3651</v>
      </c>
      <c r="E3" s="9" t="s">
        <v>3125</v>
      </c>
      <c r="F3" s="9" t="s">
        <v>3655</v>
      </c>
      <c r="G3" s="29" t="s">
        <v>3656</v>
      </c>
      <c r="H3" s="30"/>
      <c r="I3" s="36"/>
      <c r="J3" s="37"/>
    </row>
    <row r="4" spans="1:10" ht="33.75" customHeight="1">
      <c r="A4" s="7" t="s">
        <v>60</v>
      </c>
      <c r="B4" s="7" t="s">
        <v>48</v>
      </c>
      <c r="C4" s="7" t="s">
        <v>3650</v>
      </c>
      <c r="D4" s="7" t="s">
        <v>3651</v>
      </c>
      <c r="E4" s="9" t="s">
        <v>3657</v>
      </c>
      <c r="F4" s="9" t="s">
        <v>3658</v>
      </c>
      <c r="G4" s="29" t="s">
        <v>3659</v>
      </c>
      <c r="H4" s="30"/>
      <c r="I4" s="36"/>
      <c r="J4" s="37"/>
    </row>
    <row r="5" spans="1:10" ht="33.75" customHeight="1">
      <c r="A5" s="7" t="s">
        <v>65</v>
      </c>
      <c r="B5" s="7" t="s">
        <v>48</v>
      </c>
      <c r="C5" s="7" t="s">
        <v>3650</v>
      </c>
      <c r="D5" s="7" t="s">
        <v>3651</v>
      </c>
      <c r="E5" s="9" t="s">
        <v>3660</v>
      </c>
      <c r="F5" s="9" t="s">
        <v>3661</v>
      </c>
      <c r="G5" s="29" t="s">
        <v>3662</v>
      </c>
      <c r="H5" s="30"/>
      <c r="I5" s="36"/>
      <c r="J5" s="37"/>
    </row>
    <row r="6" spans="1:10" ht="33.75" customHeight="1">
      <c r="A6" s="7" t="s">
        <v>70</v>
      </c>
      <c r="B6" s="7" t="s">
        <v>48</v>
      </c>
      <c r="C6" s="7" t="s">
        <v>3650</v>
      </c>
      <c r="D6" s="7" t="s">
        <v>3651</v>
      </c>
      <c r="E6" s="9" t="s">
        <v>3586</v>
      </c>
      <c r="F6" s="9" t="s">
        <v>3663</v>
      </c>
      <c r="G6" s="9" t="s">
        <v>3664</v>
      </c>
      <c r="H6" s="31"/>
      <c r="I6" s="36"/>
      <c r="J6" s="37"/>
    </row>
    <row r="7" spans="1:10" ht="33.75" customHeight="1">
      <c r="A7" s="7" t="s">
        <v>74</v>
      </c>
      <c r="B7" s="7" t="s">
        <v>48</v>
      </c>
      <c r="C7" s="7" t="s">
        <v>3650</v>
      </c>
      <c r="D7" s="7" t="s">
        <v>3651</v>
      </c>
      <c r="E7" s="9" t="s">
        <v>3590</v>
      </c>
      <c r="F7" s="9" t="s">
        <v>3665</v>
      </c>
      <c r="G7" s="9" t="s">
        <v>3666</v>
      </c>
      <c r="H7" s="31"/>
      <c r="I7" s="36"/>
      <c r="J7" s="37"/>
    </row>
    <row r="8" spans="1:10" ht="33.75" customHeight="1">
      <c r="A8" s="7" t="s">
        <v>79</v>
      </c>
      <c r="B8" s="7" t="s">
        <v>48</v>
      </c>
      <c r="C8" s="7" t="s">
        <v>3650</v>
      </c>
      <c r="D8" s="7" t="s">
        <v>3651</v>
      </c>
      <c r="E8" s="9" t="s">
        <v>3594</v>
      </c>
      <c r="F8" s="9" t="s">
        <v>3667</v>
      </c>
      <c r="G8" s="9" t="s">
        <v>3668</v>
      </c>
      <c r="H8" s="31"/>
      <c r="I8" s="36"/>
      <c r="J8" s="37"/>
    </row>
    <row r="9" spans="1:10" ht="33.75" customHeight="1">
      <c r="A9" s="7" t="s">
        <v>84</v>
      </c>
      <c r="B9" s="7" t="s">
        <v>48</v>
      </c>
      <c r="C9" s="7" t="s">
        <v>3650</v>
      </c>
      <c r="D9" s="7" t="s">
        <v>3651</v>
      </c>
      <c r="E9" s="9" t="s">
        <v>3669</v>
      </c>
      <c r="F9" s="9" t="s">
        <v>3670</v>
      </c>
      <c r="G9" s="9" t="s">
        <v>3671</v>
      </c>
      <c r="H9" s="31"/>
      <c r="I9" s="36"/>
      <c r="J9" s="37"/>
    </row>
    <row r="10" spans="1:10" ht="33.75" customHeight="1">
      <c r="A10" s="7" t="s">
        <v>89</v>
      </c>
      <c r="B10" s="7" t="s">
        <v>48</v>
      </c>
      <c r="C10" s="7" t="s">
        <v>3650</v>
      </c>
      <c r="D10" s="7" t="s">
        <v>3651</v>
      </c>
      <c r="E10" s="9" t="s">
        <v>3598</v>
      </c>
      <c r="F10" s="9" t="s">
        <v>3672</v>
      </c>
      <c r="G10" s="9" t="s">
        <v>3673</v>
      </c>
      <c r="H10" s="31"/>
      <c r="I10" s="36"/>
      <c r="J10" s="37"/>
    </row>
    <row r="11" spans="1:10" ht="33.75" customHeight="1">
      <c r="A11" s="7" t="s">
        <v>94</v>
      </c>
      <c r="B11" s="7" t="s">
        <v>48</v>
      </c>
      <c r="C11" s="7" t="s">
        <v>3650</v>
      </c>
      <c r="D11" s="7" t="s">
        <v>3651</v>
      </c>
      <c r="E11" s="9" t="s">
        <v>3602</v>
      </c>
      <c r="F11" s="9" t="s">
        <v>3674</v>
      </c>
      <c r="G11" s="9" t="s">
        <v>3675</v>
      </c>
      <c r="H11" s="31"/>
      <c r="I11" s="36"/>
      <c r="J11" s="37"/>
    </row>
    <row r="12" spans="1:10" ht="33.75" customHeight="1">
      <c r="A12" s="7" t="s">
        <v>99</v>
      </c>
      <c r="B12" s="7" t="s">
        <v>48</v>
      </c>
      <c r="C12" s="7" t="s">
        <v>3650</v>
      </c>
      <c r="D12" s="7" t="s">
        <v>3651</v>
      </c>
      <c r="E12" s="9" t="s">
        <v>3606</v>
      </c>
      <c r="F12" s="9" t="s">
        <v>3676</v>
      </c>
      <c r="G12" s="9" t="s">
        <v>3677</v>
      </c>
      <c r="H12" s="31"/>
      <c r="I12" s="36"/>
      <c r="J12" s="37"/>
    </row>
    <row r="13" spans="1:10" ht="33.75" customHeight="1">
      <c r="A13" s="7" t="s">
        <v>103</v>
      </c>
      <c r="B13" s="7" t="s">
        <v>48</v>
      </c>
      <c r="C13" s="7" t="s">
        <v>3650</v>
      </c>
      <c r="D13" s="7" t="s">
        <v>3651</v>
      </c>
      <c r="E13" s="9" t="s">
        <v>3610</v>
      </c>
      <c r="F13" s="9" t="s">
        <v>3678</v>
      </c>
      <c r="G13" s="9" t="s">
        <v>3679</v>
      </c>
      <c r="H13" s="31"/>
      <c r="I13" s="36"/>
      <c r="J13" s="37"/>
    </row>
    <row r="14" spans="1:10" ht="33.75" customHeight="1">
      <c r="A14" s="7" t="s">
        <v>108</v>
      </c>
      <c r="B14" s="32" t="s">
        <v>48</v>
      </c>
      <c r="C14" s="7" t="s">
        <v>3650</v>
      </c>
      <c r="D14" s="32" t="s">
        <v>3651</v>
      </c>
      <c r="E14" s="33" t="s">
        <v>3680</v>
      </c>
      <c r="F14" s="34" t="s">
        <v>3681</v>
      </c>
      <c r="G14" s="33" t="s">
        <v>3682</v>
      </c>
      <c r="H14" s="35"/>
      <c r="I14" s="36"/>
      <c r="J14" s="37"/>
    </row>
    <row r="15" spans="1:10" ht="33.75" customHeight="1">
      <c r="A15" s="7" t="s">
        <v>112</v>
      </c>
      <c r="B15" s="32" t="s">
        <v>48</v>
      </c>
      <c r="C15" s="7" t="s">
        <v>3650</v>
      </c>
      <c r="D15" s="32" t="s">
        <v>3651</v>
      </c>
      <c r="E15" s="35" t="s">
        <v>3680</v>
      </c>
      <c r="F15" s="34" t="s">
        <v>3683</v>
      </c>
      <c r="G15" s="33" t="s">
        <v>3684</v>
      </c>
      <c r="H15" s="33"/>
      <c r="I15" s="36"/>
      <c r="J15" s="37"/>
    </row>
    <row r="16" spans="1:10" ht="33.75" customHeight="1">
      <c r="A16" s="7" t="s">
        <v>118</v>
      </c>
      <c r="B16" s="32" t="s">
        <v>48</v>
      </c>
      <c r="C16" s="7" t="s">
        <v>3650</v>
      </c>
      <c r="D16" s="32" t="s">
        <v>3651</v>
      </c>
      <c r="E16" s="33" t="s">
        <v>3680</v>
      </c>
      <c r="F16" s="34" t="s">
        <v>3685</v>
      </c>
      <c r="G16" s="33" t="s">
        <v>3686</v>
      </c>
      <c r="H16" s="33"/>
      <c r="I16" s="36"/>
      <c r="J16" s="37"/>
    </row>
    <row r="17" spans="1:10" ht="33.75" customHeight="1">
      <c r="A17" s="7" t="s">
        <v>124</v>
      </c>
      <c r="B17" s="32" t="s">
        <v>48</v>
      </c>
      <c r="C17" s="7" t="s">
        <v>3650</v>
      </c>
      <c r="D17" s="32" t="s">
        <v>3651</v>
      </c>
      <c r="E17" s="33" t="s">
        <v>3680</v>
      </c>
      <c r="F17" s="34" t="s">
        <v>3687</v>
      </c>
      <c r="G17" s="33" t="s">
        <v>3688</v>
      </c>
      <c r="H17" s="33"/>
      <c r="I17" s="36"/>
      <c r="J17" s="37"/>
    </row>
    <row r="18" spans="1:10" ht="33.75" customHeight="1">
      <c r="A18" s="7" t="s">
        <v>129</v>
      </c>
      <c r="B18" s="7" t="s">
        <v>48</v>
      </c>
      <c r="C18" s="7" t="s">
        <v>3650</v>
      </c>
      <c r="D18" s="7" t="s">
        <v>3651</v>
      </c>
      <c r="E18" s="9" t="s">
        <v>3680</v>
      </c>
      <c r="F18" s="160" t="s">
        <v>3689</v>
      </c>
      <c r="G18" s="9" t="s">
        <v>3690</v>
      </c>
      <c r="H18" s="9"/>
      <c r="I18" s="36"/>
      <c r="J18" s="3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72"/>
  <sheetViews>
    <sheetView topLeftCell="F1" zoomScaleNormal="100" workbookViewId="0">
      <selection activeCell="K11" sqref="K11"/>
    </sheetView>
  </sheetViews>
  <sheetFormatPr defaultColWidth="10.42578125" defaultRowHeight="26.25" customHeight="1"/>
  <cols>
    <col min="1" max="1" width="6.85546875" style="14" customWidth="1"/>
    <col min="2" max="2" width="12.28515625" style="14" bestFit="1" customWidth="1"/>
    <col min="3" max="3" width="13.85546875" style="14" customWidth="1"/>
    <col min="4" max="4" width="23.85546875" style="14" customWidth="1"/>
    <col min="5" max="5" width="68.7109375" style="14" customWidth="1"/>
    <col min="6" max="6" width="33.28515625" style="14" customWidth="1"/>
    <col min="7" max="7" width="40.140625" style="14" customWidth="1"/>
    <col min="8" max="8" width="11.28515625" style="14" customWidth="1"/>
    <col min="9" max="9" width="10.140625" style="12" customWidth="1"/>
    <col min="10" max="10" width="22.140625" style="14" customWidth="1"/>
    <col min="11" max="17" width="10.42578125" style="14" customWidth="1"/>
    <col min="18" max="16384" width="10.42578125" style="14"/>
  </cols>
  <sheetData>
    <row r="1" spans="1:10" s="12" customFormat="1" ht="26.25" customHeight="1">
      <c r="A1" s="145" t="s">
        <v>37</v>
      </c>
      <c r="B1" s="145" t="s">
        <v>38</v>
      </c>
      <c r="C1" s="145" t="s">
        <v>39</v>
      </c>
      <c r="D1" s="145" t="s">
        <v>40</v>
      </c>
      <c r="E1" s="145" t="s">
        <v>41</v>
      </c>
      <c r="F1" s="145" t="s">
        <v>42</v>
      </c>
      <c r="G1" s="145" t="s">
        <v>43</v>
      </c>
      <c r="H1" s="3" t="s">
        <v>1863</v>
      </c>
      <c r="I1" s="138" t="s">
        <v>45</v>
      </c>
      <c r="J1" s="143" t="s">
        <v>46</v>
      </c>
    </row>
    <row r="2" spans="1:10" ht="26.25" customHeight="1">
      <c r="A2" s="15" t="s">
        <v>47</v>
      </c>
      <c r="B2" s="15" t="s">
        <v>1864</v>
      </c>
      <c r="C2" s="15" t="s">
        <v>32</v>
      </c>
      <c r="D2" s="15" t="s">
        <v>3691</v>
      </c>
      <c r="E2" s="15" t="s">
        <v>3692</v>
      </c>
      <c r="F2" s="15" t="s">
        <v>3693</v>
      </c>
      <c r="G2" s="15" t="s">
        <v>3694</v>
      </c>
      <c r="H2" s="15"/>
      <c r="I2" s="6"/>
      <c r="J2" s="15"/>
    </row>
    <row r="3" spans="1:10" ht="26.25" customHeight="1">
      <c r="A3" s="15" t="s">
        <v>55</v>
      </c>
      <c r="B3" s="15" t="s">
        <v>1864</v>
      </c>
      <c r="C3" s="15" t="s">
        <v>32</v>
      </c>
      <c r="D3" s="15" t="s">
        <v>3691</v>
      </c>
      <c r="E3" s="15" t="s">
        <v>3695</v>
      </c>
      <c r="F3" s="15" t="s">
        <v>3696</v>
      </c>
      <c r="G3" s="15" t="s">
        <v>3697</v>
      </c>
      <c r="H3" s="15"/>
      <c r="I3" s="6"/>
      <c r="J3" s="4"/>
    </row>
    <row r="4" spans="1:10" ht="26.25" customHeight="1">
      <c r="A4" s="15" t="s">
        <v>60</v>
      </c>
      <c r="B4" s="15" t="s">
        <v>1864</v>
      </c>
      <c r="C4" s="15" t="s">
        <v>32</v>
      </c>
      <c r="D4" s="15" t="s">
        <v>3691</v>
      </c>
      <c r="E4" s="15" t="s">
        <v>3698</v>
      </c>
      <c r="F4" s="15" t="s">
        <v>3699</v>
      </c>
      <c r="G4" s="15" t="s">
        <v>3700</v>
      </c>
      <c r="H4" s="15"/>
      <c r="I4" s="6"/>
      <c r="J4" s="4"/>
    </row>
    <row r="5" spans="1:10" ht="26.25" customHeight="1">
      <c r="A5" s="15" t="s">
        <v>65</v>
      </c>
      <c r="B5" s="15" t="s">
        <v>1864</v>
      </c>
      <c r="C5" s="15" t="s">
        <v>32</v>
      </c>
      <c r="D5" s="15" t="s">
        <v>3691</v>
      </c>
      <c r="E5" s="15" t="s">
        <v>3701</v>
      </c>
      <c r="F5" s="15" t="s">
        <v>3702</v>
      </c>
      <c r="G5" s="15" t="s">
        <v>3703</v>
      </c>
      <c r="H5" s="15"/>
      <c r="I5" s="6"/>
      <c r="J5" s="15"/>
    </row>
    <row r="6" spans="1:10" ht="26.25" customHeight="1">
      <c r="A6" s="15" t="s">
        <v>70</v>
      </c>
      <c r="B6" s="15" t="s">
        <v>1864</v>
      </c>
      <c r="C6" s="15" t="s">
        <v>32</v>
      </c>
      <c r="D6" s="15" t="s">
        <v>3691</v>
      </c>
      <c r="E6" s="15" t="s">
        <v>3704</v>
      </c>
      <c r="F6" s="15" t="s">
        <v>3705</v>
      </c>
      <c r="G6" s="15" t="s">
        <v>3706</v>
      </c>
      <c r="H6" s="15"/>
      <c r="I6" s="6"/>
      <c r="J6" s="15"/>
    </row>
    <row r="7" spans="1:10" ht="26.25" customHeight="1">
      <c r="A7" s="15" t="s">
        <v>74</v>
      </c>
      <c r="B7" s="15" t="s">
        <v>1864</v>
      </c>
      <c r="C7" s="15" t="s">
        <v>32</v>
      </c>
      <c r="D7" s="15" t="s">
        <v>3691</v>
      </c>
      <c r="E7" s="15" t="s">
        <v>3707</v>
      </c>
      <c r="F7" s="15" t="s">
        <v>3708</v>
      </c>
      <c r="G7" s="15" t="s">
        <v>3709</v>
      </c>
      <c r="H7" s="15"/>
      <c r="I7" s="6"/>
      <c r="J7" s="15"/>
    </row>
    <row r="8" spans="1:10" ht="26.25" customHeight="1">
      <c r="A8" s="15" t="s">
        <v>79</v>
      </c>
      <c r="B8" s="15" t="s">
        <v>1864</v>
      </c>
      <c r="C8" s="15" t="s">
        <v>32</v>
      </c>
      <c r="D8" s="15" t="s">
        <v>3691</v>
      </c>
      <c r="E8" s="15" t="s">
        <v>3710</v>
      </c>
      <c r="F8" s="15" t="s">
        <v>3711</v>
      </c>
      <c r="G8" s="15" t="s">
        <v>3712</v>
      </c>
      <c r="H8" s="15"/>
      <c r="I8" s="6"/>
      <c r="J8" s="15"/>
    </row>
    <row r="9" spans="1:10" ht="26.25" customHeight="1">
      <c r="A9" s="15" t="s">
        <v>84</v>
      </c>
      <c r="B9" s="15" t="s">
        <v>1864</v>
      </c>
      <c r="C9" s="15" t="s">
        <v>32</v>
      </c>
      <c r="D9" s="15" t="s">
        <v>3691</v>
      </c>
      <c r="E9" s="15" t="s">
        <v>3713</v>
      </c>
      <c r="F9" s="15" t="s">
        <v>3714</v>
      </c>
      <c r="G9" s="15" t="s">
        <v>3715</v>
      </c>
      <c r="H9" s="15"/>
      <c r="I9" s="6"/>
      <c r="J9" s="15"/>
    </row>
    <row r="10" spans="1:10" ht="26.25" customHeight="1">
      <c r="A10" s="15" t="s">
        <v>89</v>
      </c>
      <c r="B10" s="15" t="s">
        <v>1864</v>
      </c>
      <c r="C10" s="15" t="s">
        <v>32</v>
      </c>
      <c r="D10" s="15" t="s">
        <v>3691</v>
      </c>
      <c r="E10" s="15" t="s">
        <v>3716</v>
      </c>
      <c r="F10" s="15" t="s">
        <v>3717</v>
      </c>
      <c r="G10" s="15" t="s">
        <v>3718</v>
      </c>
      <c r="H10" s="15"/>
      <c r="I10" s="6"/>
      <c r="J10" s="15"/>
    </row>
    <row r="11" spans="1:10" ht="26.25" customHeight="1">
      <c r="A11" s="15" t="s">
        <v>94</v>
      </c>
      <c r="B11" s="15" t="s">
        <v>1864</v>
      </c>
      <c r="C11" s="15" t="s">
        <v>32</v>
      </c>
      <c r="D11" s="15" t="s">
        <v>3691</v>
      </c>
      <c r="E11" s="15" t="s">
        <v>3719</v>
      </c>
      <c r="F11" s="15" t="s">
        <v>3720</v>
      </c>
      <c r="G11" s="15" t="s">
        <v>3721</v>
      </c>
      <c r="H11" s="15"/>
      <c r="I11" s="6"/>
      <c r="J11" s="15"/>
    </row>
    <row r="12" spans="1:10" ht="26.25" customHeight="1">
      <c r="A12" s="15" t="s">
        <v>99</v>
      </c>
      <c r="B12" s="15" t="s">
        <v>1864</v>
      </c>
      <c r="C12" s="15" t="s">
        <v>32</v>
      </c>
      <c r="D12" s="15" t="s">
        <v>3691</v>
      </c>
      <c r="E12" s="15" t="s">
        <v>3722</v>
      </c>
      <c r="F12" s="15" t="s">
        <v>3723</v>
      </c>
      <c r="G12" s="15" t="s">
        <v>3724</v>
      </c>
      <c r="H12" s="15"/>
      <c r="I12" s="6"/>
      <c r="J12" s="15"/>
    </row>
    <row r="13" spans="1:10" ht="26.25" customHeight="1">
      <c r="A13" s="15" t="s">
        <v>103</v>
      </c>
      <c r="B13" s="15" t="s">
        <v>1864</v>
      </c>
      <c r="C13" s="15" t="s">
        <v>32</v>
      </c>
      <c r="D13" s="15" t="s">
        <v>3691</v>
      </c>
      <c r="E13" s="15" t="s">
        <v>3725</v>
      </c>
      <c r="F13" s="15" t="s">
        <v>3726</v>
      </c>
      <c r="G13" s="15" t="s">
        <v>3727</v>
      </c>
      <c r="H13" s="15"/>
      <c r="I13" s="6"/>
      <c r="J13" s="15"/>
    </row>
    <row r="14" spans="1:10" ht="26.25" customHeight="1">
      <c r="A14" s="15" t="s">
        <v>108</v>
      </c>
      <c r="B14" s="15" t="s">
        <v>1864</v>
      </c>
      <c r="C14" s="15" t="s">
        <v>32</v>
      </c>
      <c r="D14" s="15" t="s">
        <v>3691</v>
      </c>
      <c r="E14" s="15" t="s">
        <v>3728</v>
      </c>
      <c r="F14" s="15" t="s">
        <v>3729</v>
      </c>
      <c r="G14" s="15" t="s">
        <v>3730</v>
      </c>
      <c r="H14" s="15"/>
      <c r="I14" s="6"/>
      <c r="J14" s="15"/>
    </row>
    <row r="15" spans="1:10" ht="26.25" customHeight="1">
      <c r="A15" s="15" t="s">
        <v>112</v>
      </c>
      <c r="B15" s="15" t="s">
        <v>1864</v>
      </c>
      <c r="C15" s="15" t="s">
        <v>32</v>
      </c>
      <c r="D15" s="15" t="s">
        <v>3691</v>
      </c>
      <c r="E15" s="15" t="s">
        <v>3731</v>
      </c>
      <c r="F15" s="15" t="s">
        <v>3732</v>
      </c>
      <c r="G15" s="15" t="s">
        <v>3733</v>
      </c>
      <c r="H15" s="15"/>
      <c r="I15" s="6"/>
      <c r="J15" s="15"/>
    </row>
    <row r="16" spans="1:10" ht="26.25" customHeight="1">
      <c r="A16" s="15" t="s">
        <v>118</v>
      </c>
      <c r="B16" s="15" t="s">
        <v>1864</v>
      </c>
      <c r="C16" s="15" t="s">
        <v>32</v>
      </c>
      <c r="D16" s="15" t="s">
        <v>3691</v>
      </c>
      <c r="E16" s="15" t="s">
        <v>3734</v>
      </c>
      <c r="F16" s="15" t="s">
        <v>3735</v>
      </c>
      <c r="G16" s="15" t="s">
        <v>3736</v>
      </c>
      <c r="H16" s="15"/>
      <c r="I16" s="226"/>
      <c r="J16" s="19"/>
    </row>
    <row r="17" spans="1:10" ht="26.25" customHeight="1">
      <c r="A17" s="15" t="s">
        <v>124</v>
      </c>
      <c r="B17" s="15" t="s">
        <v>1864</v>
      </c>
      <c r="C17" s="15" t="s">
        <v>32</v>
      </c>
      <c r="D17" s="15" t="s">
        <v>3691</v>
      </c>
      <c r="E17" s="15" t="s">
        <v>3737</v>
      </c>
      <c r="F17" s="15" t="s">
        <v>3738</v>
      </c>
      <c r="G17" s="15" t="s">
        <v>3739</v>
      </c>
      <c r="H17" s="15"/>
      <c r="I17" s="226"/>
      <c r="J17" s="5"/>
    </row>
    <row r="18" spans="1:10" ht="26.25" customHeight="1">
      <c r="A18" s="15" t="s">
        <v>129</v>
      </c>
      <c r="B18" s="15" t="s">
        <v>1864</v>
      </c>
      <c r="C18" s="15" t="s">
        <v>32</v>
      </c>
      <c r="D18" s="15" t="s">
        <v>3691</v>
      </c>
      <c r="E18" s="15" t="s">
        <v>3740</v>
      </c>
      <c r="F18" s="15" t="s">
        <v>3741</v>
      </c>
      <c r="G18" s="15" t="s">
        <v>3739</v>
      </c>
      <c r="H18" s="15"/>
      <c r="I18" s="226"/>
      <c r="J18" s="5"/>
    </row>
    <row r="19" spans="1:10" ht="26.25" customHeight="1">
      <c r="A19" s="15" t="s">
        <v>133</v>
      </c>
      <c r="B19" s="15" t="s">
        <v>1864</v>
      </c>
      <c r="C19" s="15" t="s">
        <v>32</v>
      </c>
      <c r="D19" s="15" t="s">
        <v>3691</v>
      </c>
      <c r="E19" s="15" t="s">
        <v>3742</v>
      </c>
      <c r="F19" s="15" t="s">
        <v>3743</v>
      </c>
      <c r="G19" s="15" t="s">
        <v>3744</v>
      </c>
      <c r="H19" s="15"/>
      <c r="I19" s="6"/>
      <c r="J19" s="15"/>
    </row>
    <row r="20" spans="1:10" ht="26.25" customHeight="1">
      <c r="A20" s="15" t="s">
        <v>137</v>
      </c>
      <c r="B20" s="15" t="s">
        <v>1864</v>
      </c>
      <c r="C20" s="15" t="s">
        <v>32</v>
      </c>
      <c r="D20" s="15" t="s">
        <v>3745</v>
      </c>
      <c r="E20" s="15" t="s">
        <v>3746</v>
      </c>
      <c r="F20" s="15" t="s">
        <v>3747</v>
      </c>
      <c r="G20" s="15" t="s">
        <v>3748</v>
      </c>
      <c r="H20" s="15"/>
      <c r="I20" s="6"/>
      <c r="J20" s="15"/>
    </row>
    <row r="21" spans="1:10" ht="26.25" customHeight="1">
      <c r="A21" s="15" t="s">
        <v>142</v>
      </c>
      <c r="B21" s="15" t="s">
        <v>1864</v>
      </c>
      <c r="C21" s="15" t="s">
        <v>32</v>
      </c>
      <c r="D21" s="15" t="s">
        <v>3745</v>
      </c>
      <c r="E21" s="15" t="s">
        <v>3749</v>
      </c>
      <c r="F21" s="15" t="s">
        <v>3750</v>
      </c>
      <c r="G21" s="15" t="s">
        <v>3751</v>
      </c>
      <c r="H21" s="15"/>
      <c r="I21" s="6"/>
      <c r="J21" s="15"/>
    </row>
    <row r="22" spans="1:10" ht="26.25" customHeight="1">
      <c r="A22" s="15" t="s">
        <v>146</v>
      </c>
      <c r="B22" s="15" t="s">
        <v>1864</v>
      </c>
      <c r="C22" s="15" t="s">
        <v>32</v>
      </c>
      <c r="D22" s="15" t="s">
        <v>3745</v>
      </c>
      <c r="E22" s="15" t="s">
        <v>3752</v>
      </c>
      <c r="F22" s="15" t="s">
        <v>3753</v>
      </c>
      <c r="G22" s="15" t="s">
        <v>3700</v>
      </c>
      <c r="H22" s="15"/>
      <c r="I22" s="6"/>
      <c r="J22" s="20"/>
    </row>
    <row r="23" spans="1:10" ht="26.25" customHeight="1">
      <c r="A23" s="15" t="s">
        <v>151</v>
      </c>
      <c r="B23" s="15" t="s">
        <v>1864</v>
      </c>
      <c r="C23" s="15" t="s">
        <v>32</v>
      </c>
      <c r="D23" s="15" t="s">
        <v>3745</v>
      </c>
      <c r="E23" s="15" t="s">
        <v>3754</v>
      </c>
      <c r="F23" s="15" t="s">
        <v>3755</v>
      </c>
      <c r="G23" s="15" t="s">
        <v>3756</v>
      </c>
      <c r="H23" s="15"/>
      <c r="I23" s="6"/>
      <c r="J23" s="15"/>
    </row>
    <row r="24" spans="1:10" ht="26.25" customHeight="1">
      <c r="A24" s="15" t="s">
        <v>154</v>
      </c>
      <c r="B24" s="15" t="s">
        <v>1864</v>
      </c>
      <c r="C24" s="15" t="s">
        <v>32</v>
      </c>
      <c r="D24" s="15" t="s">
        <v>3745</v>
      </c>
      <c r="E24" s="15" t="s">
        <v>3757</v>
      </c>
      <c r="F24" s="15" t="s">
        <v>3758</v>
      </c>
      <c r="G24" s="15" t="s">
        <v>3712</v>
      </c>
      <c r="H24" s="15"/>
      <c r="I24" s="6"/>
      <c r="J24" s="15"/>
    </row>
    <row r="25" spans="1:10" ht="26.25" customHeight="1">
      <c r="A25" s="15" t="s">
        <v>158</v>
      </c>
      <c r="B25" s="15" t="s">
        <v>1864</v>
      </c>
      <c r="C25" s="15" t="s">
        <v>32</v>
      </c>
      <c r="D25" s="15" t="s">
        <v>3745</v>
      </c>
      <c r="E25" s="15" t="s">
        <v>3759</v>
      </c>
      <c r="F25" s="15" t="s">
        <v>3760</v>
      </c>
      <c r="G25" s="15" t="s">
        <v>3761</v>
      </c>
      <c r="H25" s="15"/>
      <c r="I25" s="6"/>
      <c r="J25" s="15"/>
    </row>
    <row r="26" spans="1:10" ht="26.25" customHeight="1">
      <c r="A26" s="15" t="s">
        <v>164</v>
      </c>
      <c r="B26" s="15" t="s">
        <v>1864</v>
      </c>
      <c r="C26" s="15" t="s">
        <v>32</v>
      </c>
      <c r="D26" s="15" t="s">
        <v>3745</v>
      </c>
      <c r="E26" s="15" t="s">
        <v>3762</v>
      </c>
      <c r="F26" s="15" t="s">
        <v>3763</v>
      </c>
      <c r="G26" s="15" t="s">
        <v>3764</v>
      </c>
      <c r="H26" s="15"/>
      <c r="I26" s="6"/>
      <c r="J26" s="15"/>
    </row>
    <row r="27" spans="1:10" ht="26.25" customHeight="1">
      <c r="A27" s="15" t="s">
        <v>170</v>
      </c>
      <c r="B27" s="15" t="s">
        <v>1864</v>
      </c>
      <c r="C27" s="15" t="s">
        <v>32</v>
      </c>
      <c r="D27" s="15" t="s">
        <v>3745</v>
      </c>
      <c r="E27" s="15" t="s">
        <v>3765</v>
      </c>
      <c r="F27" s="15" t="s">
        <v>3766</v>
      </c>
      <c r="G27" s="15" t="s">
        <v>3767</v>
      </c>
      <c r="H27" s="15"/>
      <c r="I27" s="6"/>
      <c r="J27" s="15"/>
    </row>
    <row r="28" spans="1:10" ht="26.25" customHeight="1">
      <c r="A28" s="15" t="s">
        <v>283</v>
      </c>
      <c r="B28" s="15" t="s">
        <v>1864</v>
      </c>
      <c r="C28" s="15" t="s">
        <v>32</v>
      </c>
      <c r="D28" s="15" t="s">
        <v>3745</v>
      </c>
      <c r="E28" s="15" t="s">
        <v>3768</v>
      </c>
      <c r="F28" s="15" t="s">
        <v>3769</v>
      </c>
      <c r="G28" s="15" t="s">
        <v>3764</v>
      </c>
      <c r="H28" s="15"/>
      <c r="I28" s="6"/>
      <c r="J28" s="20"/>
    </row>
    <row r="29" spans="1:10" s="13" customFormat="1" ht="26.25" customHeight="1">
      <c r="A29" s="15" t="s">
        <v>288</v>
      </c>
      <c r="B29" s="16" t="s">
        <v>1864</v>
      </c>
      <c r="C29" s="16" t="s">
        <v>32</v>
      </c>
      <c r="D29" s="16" t="s">
        <v>3745</v>
      </c>
      <c r="E29" s="16" t="s">
        <v>3770</v>
      </c>
      <c r="F29" s="16" t="s">
        <v>3771</v>
      </c>
      <c r="G29" s="16" t="s">
        <v>3772</v>
      </c>
      <c r="H29" s="16"/>
      <c r="I29" s="227"/>
      <c r="J29" s="21"/>
    </row>
    <row r="30" spans="1:10" ht="26.25" customHeight="1">
      <c r="A30" s="15" t="s">
        <v>293</v>
      </c>
      <c r="B30" s="15" t="s">
        <v>1864</v>
      </c>
      <c r="C30" s="15" t="s">
        <v>32</v>
      </c>
      <c r="D30" s="15" t="s">
        <v>3773</v>
      </c>
      <c r="E30" s="15" t="s">
        <v>3768</v>
      </c>
      <c r="F30" s="15" t="s">
        <v>3774</v>
      </c>
      <c r="G30" s="15" t="s">
        <v>3721</v>
      </c>
      <c r="H30" s="15"/>
      <c r="I30" s="226"/>
      <c r="J30" s="15"/>
    </row>
    <row r="31" spans="1:10" ht="26.25" customHeight="1">
      <c r="A31" s="15" t="s">
        <v>298</v>
      </c>
      <c r="B31" s="15" t="s">
        <v>1864</v>
      </c>
      <c r="C31" s="15" t="s">
        <v>32</v>
      </c>
      <c r="D31" s="15" t="s">
        <v>3773</v>
      </c>
      <c r="E31" s="15" t="s">
        <v>3725</v>
      </c>
      <c r="F31" s="15" t="s">
        <v>3775</v>
      </c>
      <c r="G31" s="15" t="s">
        <v>3721</v>
      </c>
      <c r="H31" s="15"/>
      <c r="I31" s="226"/>
      <c r="J31" s="18"/>
    </row>
    <row r="32" spans="1:10" ht="26.25" customHeight="1">
      <c r="A32" s="15" t="s">
        <v>303</v>
      </c>
      <c r="B32" s="15" t="s">
        <v>1864</v>
      </c>
      <c r="C32" s="15" t="s">
        <v>32</v>
      </c>
      <c r="D32" s="15" t="s">
        <v>3773</v>
      </c>
      <c r="E32" s="15" t="s">
        <v>3728</v>
      </c>
      <c r="F32" s="15" t="s">
        <v>3776</v>
      </c>
      <c r="G32" s="15" t="s">
        <v>3721</v>
      </c>
      <c r="H32" s="15"/>
      <c r="I32" s="226"/>
      <c r="J32" s="18"/>
    </row>
    <row r="33" spans="1:10" ht="26.25" customHeight="1">
      <c r="A33" s="15" t="s">
        <v>308</v>
      </c>
      <c r="B33" s="15" t="s">
        <v>1864</v>
      </c>
      <c r="C33" s="15" t="s">
        <v>32</v>
      </c>
      <c r="D33" s="15" t="s">
        <v>3773</v>
      </c>
      <c r="E33" s="15" t="s">
        <v>3731</v>
      </c>
      <c r="F33" s="15" t="s">
        <v>3732</v>
      </c>
      <c r="G33" s="15" t="s">
        <v>3777</v>
      </c>
      <c r="H33" s="15"/>
      <c r="I33" s="226"/>
      <c r="J33" s="15"/>
    </row>
    <row r="34" spans="1:10" ht="26.25" customHeight="1">
      <c r="A34" s="15" t="s">
        <v>313</v>
      </c>
      <c r="B34" s="15" t="s">
        <v>1864</v>
      </c>
      <c r="C34" s="15" t="s">
        <v>32</v>
      </c>
      <c r="D34" s="15" t="s">
        <v>3773</v>
      </c>
      <c r="E34" s="15" t="s">
        <v>3734</v>
      </c>
      <c r="F34" s="15" t="s">
        <v>3735</v>
      </c>
      <c r="G34" s="15" t="s">
        <v>3721</v>
      </c>
      <c r="H34" s="15"/>
      <c r="I34" s="228"/>
      <c r="J34" s="22"/>
    </row>
    <row r="35" spans="1:10" ht="26.25" customHeight="1">
      <c r="A35" s="15" t="s">
        <v>318</v>
      </c>
      <c r="B35" s="15" t="s">
        <v>1864</v>
      </c>
      <c r="C35" s="15" t="s">
        <v>32</v>
      </c>
      <c r="D35" s="15" t="s">
        <v>3773</v>
      </c>
      <c r="E35" s="15" t="s">
        <v>3737</v>
      </c>
      <c r="F35" s="15" t="s">
        <v>3738</v>
      </c>
      <c r="G35" s="15" t="s">
        <v>3721</v>
      </c>
      <c r="H35" s="15"/>
      <c r="I35" s="228"/>
      <c r="J35" s="22"/>
    </row>
    <row r="36" spans="1:10" ht="26.25" customHeight="1">
      <c r="A36" s="15" t="s">
        <v>323</v>
      </c>
      <c r="B36" s="15" t="s">
        <v>1864</v>
      </c>
      <c r="C36" s="15" t="s">
        <v>32</v>
      </c>
      <c r="D36" s="15" t="s">
        <v>3773</v>
      </c>
      <c r="E36" s="15" t="s">
        <v>3740</v>
      </c>
      <c r="F36" s="15" t="s">
        <v>3741</v>
      </c>
      <c r="G36" s="15" t="s">
        <v>3721</v>
      </c>
      <c r="H36" s="15"/>
      <c r="I36" s="228"/>
      <c r="J36" s="22"/>
    </row>
    <row r="37" spans="1:10" ht="26.25" customHeight="1">
      <c r="A37" s="15" t="s">
        <v>327</v>
      </c>
      <c r="B37" s="15" t="s">
        <v>1864</v>
      </c>
      <c r="C37" s="15" t="s">
        <v>32</v>
      </c>
      <c r="D37" s="15" t="s">
        <v>3773</v>
      </c>
      <c r="E37" s="15" t="s">
        <v>3742</v>
      </c>
      <c r="F37" s="15" t="s">
        <v>3778</v>
      </c>
      <c r="G37" s="15" t="s">
        <v>3744</v>
      </c>
      <c r="H37" s="15"/>
      <c r="I37" s="228"/>
      <c r="J37" s="22"/>
    </row>
    <row r="38" spans="1:10" ht="26.25" customHeight="1">
      <c r="A38" s="15" t="s">
        <v>333</v>
      </c>
      <c r="B38" s="15" t="s">
        <v>1864</v>
      </c>
      <c r="C38" s="15" t="s">
        <v>32</v>
      </c>
      <c r="D38" s="15" t="s">
        <v>3779</v>
      </c>
      <c r="E38" s="15" t="s">
        <v>3746</v>
      </c>
      <c r="F38" s="15" t="s">
        <v>3747</v>
      </c>
      <c r="G38" s="15" t="s">
        <v>3748</v>
      </c>
      <c r="H38" s="15"/>
      <c r="I38" s="226"/>
      <c r="J38" s="20"/>
    </row>
    <row r="39" spans="1:10" ht="26.25" customHeight="1">
      <c r="A39" s="15" t="s">
        <v>338</v>
      </c>
      <c r="B39" s="15" t="s">
        <v>1864</v>
      </c>
      <c r="C39" s="15" t="s">
        <v>32</v>
      </c>
      <c r="D39" s="15" t="s">
        <v>3779</v>
      </c>
      <c r="E39" s="15" t="s">
        <v>3780</v>
      </c>
      <c r="F39" s="15" t="s">
        <v>3781</v>
      </c>
      <c r="G39" s="15" t="s">
        <v>3782</v>
      </c>
      <c r="H39" s="15"/>
      <c r="I39" s="226"/>
      <c r="J39" s="20"/>
    </row>
    <row r="40" spans="1:10" ht="26.25" customHeight="1">
      <c r="A40" s="15" t="s">
        <v>343</v>
      </c>
      <c r="B40" s="15" t="s">
        <v>1864</v>
      </c>
      <c r="C40" s="15" t="s">
        <v>32</v>
      </c>
      <c r="D40" s="15" t="s">
        <v>3779</v>
      </c>
      <c r="E40" s="15" t="s">
        <v>3749</v>
      </c>
      <c r="F40" s="15" t="s">
        <v>3750</v>
      </c>
      <c r="G40" s="15" t="s">
        <v>3751</v>
      </c>
      <c r="H40" s="15"/>
      <c r="I40" s="226"/>
      <c r="J40" s="15"/>
    </row>
    <row r="41" spans="1:10" ht="26.25" customHeight="1">
      <c r="A41" s="15" t="s">
        <v>349</v>
      </c>
      <c r="B41" s="15" t="s">
        <v>1864</v>
      </c>
      <c r="C41" s="15" t="s">
        <v>32</v>
      </c>
      <c r="D41" s="15" t="s">
        <v>3779</v>
      </c>
      <c r="E41" s="15" t="s">
        <v>3754</v>
      </c>
      <c r="F41" s="15" t="s">
        <v>3755</v>
      </c>
      <c r="G41" s="15" t="s">
        <v>3756</v>
      </c>
      <c r="H41" s="15"/>
      <c r="I41" s="226"/>
      <c r="J41" s="20"/>
    </row>
    <row r="42" spans="1:10" ht="26.25" customHeight="1">
      <c r="A42" s="15" t="s">
        <v>354</v>
      </c>
      <c r="B42" s="15" t="s">
        <v>1864</v>
      </c>
      <c r="C42" s="15" t="s">
        <v>32</v>
      </c>
      <c r="D42" s="15" t="s">
        <v>3779</v>
      </c>
      <c r="E42" s="15" t="s">
        <v>3759</v>
      </c>
      <c r="F42" s="15" t="s">
        <v>3783</v>
      </c>
      <c r="G42" s="15" t="s">
        <v>3761</v>
      </c>
      <c r="H42" s="15"/>
      <c r="I42" s="226"/>
      <c r="J42" s="15"/>
    </row>
    <row r="43" spans="1:10" ht="26.25" customHeight="1">
      <c r="A43" s="15" t="s">
        <v>359</v>
      </c>
      <c r="B43" s="15" t="s">
        <v>1864</v>
      </c>
      <c r="C43" s="15" t="s">
        <v>32</v>
      </c>
      <c r="D43" s="15" t="s">
        <v>3779</v>
      </c>
      <c r="E43" s="15" t="s">
        <v>3784</v>
      </c>
      <c r="F43" s="15" t="s">
        <v>3763</v>
      </c>
      <c r="G43" s="15" t="s">
        <v>3764</v>
      </c>
      <c r="H43" s="15"/>
      <c r="I43" s="6"/>
      <c r="J43" s="15"/>
    </row>
    <row r="44" spans="1:10" ht="26.25" customHeight="1">
      <c r="A44" s="15" t="s">
        <v>363</v>
      </c>
      <c r="B44" s="15" t="s">
        <v>1864</v>
      </c>
      <c r="C44" s="15" t="s">
        <v>32</v>
      </c>
      <c r="D44" s="15" t="s">
        <v>3779</v>
      </c>
      <c r="E44" s="15" t="s">
        <v>3765</v>
      </c>
      <c r="F44" s="15" t="s">
        <v>3766</v>
      </c>
      <c r="G44" s="15" t="s">
        <v>3767</v>
      </c>
      <c r="H44" s="15"/>
      <c r="I44" s="6"/>
      <c r="J44" s="15"/>
    </row>
    <row r="45" spans="1:10" ht="26.25" customHeight="1">
      <c r="A45" s="15" t="s">
        <v>368</v>
      </c>
      <c r="B45" s="15" t="s">
        <v>1864</v>
      </c>
      <c r="C45" s="15" t="s">
        <v>32</v>
      </c>
      <c r="D45" s="15" t="s">
        <v>3779</v>
      </c>
      <c r="E45" s="15" t="s">
        <v>3768</v>
      </c>
      <c r="F45" s="15" t="s">
        <v>3769</v>
      </c>
      <c r="G45" s="15" t="s">
        <v>3764</v>
      </c>
      <c r="H45" s="15"/>
      <c r="I45" s="6"/>
      <c r="J45" s="15"/>
    </row>
    <row r="46" spans="1:10" ht="26.25" customHeight="1">
      <c r="A46" s="15" t="s">
        <v>372</v>
      </c>
      <c r="B46" s="15" t="s">
        <v>1864</v>
      </c>
      <c r="C46" s="15" t="s">
        <v>32</v>
      </c>
      <c r="D46" s="15" t="s">
        <v>3779</v>
      </c>
      <c r="E46" s="15" t="s">
        <v>3770</v>
      </c>
      <c r="F46" s="15" t="s">
        <v>3771</v>
      </c>
      <c r="G46" s="15" t="s">
        <v>3772</v>
      </c>
      <c r="H46" s="15"/>
      <c r="I46" s="6"/>
      <c r="J46" s="15"/>
    </row>
    <row r="47" spans="1:10" ht="26.25" customHeight="1">
      <c r="A47" s="15" t="s">
        <v>377</v>
      </c>
      <c r="B47" s="15" t="s">
        <v>1864</v>
      </c>
      <c r="C47" s="15" t="s">
        <v>32</v>
      </c>
      <c r="D47" s="15" t="s">
        <v>3785</v>
      </c>
      <c r="E47" s="15" t="s">
        <v>3786</v>
      </c>
      <c r="F47" s="15" t="s">
        <v>3787</v>
      </c>
      <c r="G47" s="15" t="s">
        <v>3788</v>
      </c>
      <c r="H47" s="15"/>
      <c r="I47" s="226"/>
      <c r="J47" s="20"/>
    </row>
    <row r="48" spans="1:10" ht="26.25" customHeight="1">
      <c r="A48" s="15" t="s">
        <v>382</v>
      </c>
      <c r="B48" s="15" t="s">
        <v>1864</v>
      </c>
      <c r="C48" s="15" t="s">
        <v>32</v>
      </c>
      <c r="D48" s="15" t="s">
        <v>3789</v>
      </c>
      <c r="E48" s="15" t="s">
        <v>3790</v>
      </c>
      <c r="F48" s="15" t="s">
        <v>3791</v>
      </c>
      <c r="G48" s="15" t="s">
        <v>3792</v>
      </c>
      <c r="H48" s="15"/>
      <c r="I48" s="226"/>
      <c r="J48" s="20"/>
    </row>
    <row r="49" spans="1:10" ht="26.25" customHeight="1">
      <c r="A49" s="15" t="s">
        <v>386</v>
      </c>
      <c r="B49" s="15" t="s">
        <v>1864</v>
      </c>
      <c r="C49" s="15" t="s">
        <v>32</v>
      </c>
      <c r="D49" s="15" t="s">
        <v>3793</v>
      </c>
      <c r="E49" s="15" t="s">
        <v>3794</v>
      </c>
      <c r="F49" s="15" t="s">
        <v>3795</v>
      </c>
      <c r="G49" s="15" t="s">
        <v>3796</v>
      </c>
      <c r="H49" s="15"/>
      <c r="I49" s="226"/>
      <c r="J49" s="20"/>
    </row>
    <row r="50" spans="1:10" ht="26.25" customHeight="1">
      <c r="A50" s="15" t="s">
        <v>390</v>
      </c>
      <c r="B50" s="15" t="s">
        <v>1864</v>
      </c>
      <c r="C50" s="15" t="s">
        <v>32</v>
      </c>
      <c r="D50" s="15" t="s">
        <v>3797</v>
      </c>
      <c r="E50" s="15" t="s">
        <v>3798</v>
      </c>
      <c r="F50" s="15" t="s">
        <v>3799</v>
      </c>
      <c r="G50" s="15" t="s">
        <v>3800</v>
      </c>
      <c r="H50" s="15"/>
      <c r="I50" s="226"/>
      <c r="J50" s="20"/>
    </row>
    <row r="51" spans="1:10" ht="26.25" customHeight="1">
      <c r="A51" s="15" t="s">
        <v>394</v>
      </c>
      <c r="B51" s="15" t="s">
        <v>1864</v>
      </c>
      <c r="C51" s="15" t="s">
        <v>3801</v>
      </c>
      <c r="D51" s="15" t="s">
        <v>3802</v>
      </c>
      <c r="E51" s="15" t="s">
        <v>3803</v>
      </c>
      <c r="F51" s="15" t="s">
        <v>3804</v>
      </c>
      <c r="G51" s="15" t="s">
        <v>3805</v>
      </c>
      <c r="H51" s="15"/>
      <c r="I51" s="226"/>
      <c r="J51" s="15"/>
    </row>
    <row r="52" spans="1:10" ht="26.25" customHeight="1">
      <c r="A52" s="15" t="s">
        <v>398</v>
      </c>
      <c r="B52" s="15" t="s">
        <v>1864</v>
      </c>
      <c r="C52" s="15" t="s">
        <v>32</v>
      </c>
      <c r="D52" s="15" t="s">
        <v>3806</v>
      </c>
      <c r="E52" s="15" t="s">
        <v>3807</v>
      </c>
      <c r="F52" s="15" t="s">
        <v>3808</v>
      </c>
      <c r="G52" s="15" t="s">
        <v>3809</v>
      </c>
      <c r="H52" s="15"/>
      <c r="I52" s="226"/>
      <c r="J52" s="20"/>
    </row>
    <row r="53" spans="1:10" ht="26.25" customHeight="1">
      <c r="A53" s="15" t="s">
        <v>401</v>
      </c>
      <c r="B53" s="15" t="s">
        <v>1864</v>
      </c>
      <c r="C53" s="15" t="s">
        <v>32</v>
      </c>
      <c r="D53" s="15" t="s">
        <v>3806</v>
      </c>
      <c r="E53" s="15" t="s">
        <v>3810</v>
      </c>
      <c r="F53" s="15" t="s">
        <v>3811</v>
      </c>
      <c r="G53" s="15" t="s">
        <v>3812</v>
      </c>
      <c r="H53" s="15"/>
      <c r="I53" s="226"/>
      <c r="J53" s="20"/>
    </row>
    <row r="54" spans="1:10" ht="26.25" customHeight="1">
      <c r="A54" s="15" t="s">
        <v>404</v>
      </c>
      <c r="B54" s="15" t="s">
        <v>1864</v>
      </c>
      <c r="C54" s="15" t="s">
        <v>32</v>
      </c>
      <c r="D54" s="15" t="s">
        <v>3806</v>
      </c>
      <c r="E54" s="15" t="s">
        <v>3813</v>
      </c>
      <c r="F54" s="15" t="s">
        <v>3814</v>
      </c>
      <c r="G54" s="15" t="s">
        <v>3815</v>
      </c>
      <c r="H54" s="15"/>
      <c r="I54" s="226"/>
      <c r="J54" s="20"/>
    </row>
    <row r="55" spans="1:10" ht="26.25" customHeight="1">
      <c r="A55" s="15" t="s">
        <v>407</v>
      </c>
      <c r="B55" s="15" t="s">
        <v>1864</v>
      </c>
      <c r="C55" s="15" t="s">
        <v>32</v>
      </c>
      <c r="D55" s="15" t="s">
        <v>3806</v>
      </c>
      <c r="E55" s="15" t="s">
        <v>3816</v>
      </c>
      <c r="F55" s="15" t="s">
        <v>3814</v>
      </c>
      <c r="G55" s="15" t="s">
        <v>3817</v>
      </c>
      <c r="H55" s="15"/>
      <c r="I55" s="229"/>
      <c r="J55" s="23"/>
    </row>
    <row r="56" spans="1:10" ht="26.25" customHeight="1">
      <c r="A56" s="15" t="s">
        <v>411</v>
      </c>
      <c r="B56" s="15" t="s">
        <v>1864</v>
      </c>
      <c r="C56" s="15" t="s">
        <v>32</v>
      </c>
      <c r="D56" s="15" t="s">
        <v>3806</v>
      </c>
      <c r="E56" s="15" t="s">
        <v>3818</v>
      </c>
      <c r="F56" s="15" t="s">
        <v>3819</v>
      </c>
      <c r="G56" s="15" t="s">
        <v>3820</v>
      </c>
      <c r="H56" s="15"/>
      <c r="I56" s="226"/>
      <c r="J56" s="15"/>
    </row>
    <row r="57" spans="1:10" ht="26.25" customHeight="1">
      <c r="A57" s="15" t="s">
        <v>414</v>
      </c>
      <c r="B57" s="15" t="s">
        <v>3821</v>
      </c>
      <c r="C57" s="15" t="s">
        <v>32</v>
      </c>
      <c r="D57" s="15" t="s">
        <v>3806</v>
      </c>
      <c r="E57" s="15" t="s">
        <v>3822</v>
      </c>
      <c r="F57" s="15" t="s">
        <v>3823</v>
      </c>
      <c r="G57" s="15" t="s">
        <v>3824</v>
      </c>
      <c r="H57" s="15"/>
      <c r="I57" s="226"/>
      <c r="J57" s="15"/>
    </row>
    <row r="58" spans="1:10" ht="26.25" customHeight="1">
      <c r="A58" s="15" t="s">
        <v>419</v>
      </c>
      <c r="B58" s="15" t="s">
        <v>1864</v>
      </c>
      <c r="C58" s="15" t="s">
        <v>32</v>
      </c>
      <c r="D58" s="15" t="s">
        <v>3806</v>
      </c>
      <c r="E58" s="15" t="s">
        <v>3825</v>
      </c>
      <c r="F58" s="15" t="s">
        <v>3826</v>
      </c>
      <c r="G58" s="15" t="s">
        <v>3827</v>
      </c>
      <c r="H58" s="15"/>
      <c r="I58" s="226"/>
      <c r="J58" s="20"/>
    </row>
    <row r="59" spans="1:10" ht="26.25" customHeight="1">
      <c r="A59" s="15" t="s">
        <v>424</v>
      </c>
      <c r="B59" s="15" t="s">
        <v>1864</v>
      </c>
      <c r="C59" s="15" t="s">
        <v>32</v>
      </c>
      <c r="D59" s="15" t="s">
        <v>3806</v>
      </c>
      <c r="E59" s="15" t="s">
        <v>3828</v>
      </c>
      <c r="F59" s="15" t="s">
        <v>3829</v>
      </c>
      <c r="G59" s="15" t="s">
        <v>3830</v>
      </c>
      <c r="H59" s="15"/>
      <c r="I59" s="226"/>
      <c r="J59" s="20"/>
    </row>
    <row r="60" spans="1:10" ht="26.25" customHeight="1">
      <c r="A60" s="15" t="s">
        <v>429</v>
      </c>
      <c r="B60" s="15" t="s">
        <v>1864</v>
      </c>
      <c r="C60" s="15" t="s">
        <v>32</v>
      </c>
      <c r="D60" s="15" t="s">
        <v>3806</v>
      </c>
      <c r="E60" s="15" t="s">
        <v>3831</v>
      </c>
      <c r="F60" s="15" t="s">
        <v>3832</v>
      </c>
      <c r="G60" s="15" t="s">
        <v>3833</v>
      </c>
      <c r="H60" s="15"/>
      <c r="I60" s="226"/>
      <c r="J60" s="15"/>
    </row>
    <row r="61" spans="1:10" ht="26.25" customHeight="1">
      <c r="A61" s="15" t="s">
        <v>434</v>
      </c>
      <c r="B61" s="15" t="s">
        <v>1864</v>
      </c>
      <c r="C61" s="15" t="s">
        <v>32</v>
      </c>
      <c r="D61" s="15" t="s">
        <v>3806</v>
      </c>
      <c r="E61" s="15" t="s">
        <v>3834</v>
      </c>
      <c r="F61" s="15" t="s">
        <v>3835</v>
      </c>
      <c r="G61" s="15" t="s">
        <v>3836</v>
      </c>
      <c r="H61" s="15"/>
      <c r="I61" s="229"/>
      <c r="J61" s="23"/>
    </row>
    <row r="62" spans="1:10" ht="26.25" customHeight="1">
      <c r="A62" s="15" t="s">
        <v>439</v>
      </c>
      <c r="B62" s="15" t="s">
        <v>1864</v>
      </c>
      <c r="C62" s="15" t="s">
        <v>32</v>
      </c>
      <c r="D62" s="15" t="s">
        <v>3806</v>
      </c>
      <c r="E62" s="15" t="s">
        <v>3837</v>
      </c>
      <c r="F62" s="15" t="s">
        <v>3838</v>
      </c>
      <c r="G62" s="15" t="s">
        <v>3839</v>
      </c>
      <c r="H62" s="15"/>
      <c r="I62" s="6"/>
      <c r="J62" s="15"/>
    </row>
    <row r="63" spans="1:10" ht="26.25" customHeight="1">
      <c r="A63" s="15" t="s">
        <v>443</v>
      </c>
      <c r="B63" s="15" t="s">
        <v>3821</v>
      </c>
      <c r="C63" s="15" t="s">
        <v>32</v>
      </c>
      <c r="D63" s="15" t="s">
        <v>3806</v>
      </c>
      <c r="E63" s="17" t="s">
        <v>3840</v>
      </c>
      <c r="F63" s="15" t="s">
        <v>3841</v>
      </c>
      <c r="G63" s="15" t="s">
        <v>3824</v>
      </c>
      <c r="H63" s="15"/>
      <c r="I63" s="6"/>
      <c r="J63" s="15"/>
    </row>
    <row r="64" spans="1:10" ht="26.25" customHeight="1">
      <c r="A64" s="15" t="s">
        <v>447</v>
      </c>
      <c r="B64" s="15" t="s">
        <v>1864</v>
      </c>
      <c r="C64" s="15" t="s">
        <v>32</v>
      </c>
      <c r="D64" s="15" t="s">
        <v>3806</v>
      </c>
      <c r="E64" s="15" t="s">
        <v>3842</v>
      </c>
      <c r="F64" s="15" t="s">
        <v>3843</v>
      </c>
      <c r="G64" s="15" t="s">
        <v>3844</v>
      </c>
      <c r="H64" s="15"/>
      <c r="I64" s="6"/>
      <c r="J64" s="20"/>
    </row>
    <row r="65" spans="1:10" ht="26.25" customHeight="1">
      <c r="A65" s="15" t="s">
        <v>451</v>
      </c>
      <c r="B65" s="15" t="s">
        <v>1864</v>
      </c>
      <c r="C65" s="15" t="s">
        <v>32</v>
      </c>
      <c r="D65" s="15" t="s">
        <v>3806</v>
      </c>
      <c r="E65" s="15" t="s">
        <v>3845</v>
      </c>
      <c r="F65" s="15" t="s">
        <v>3846</v>
      </c>
      <c r="G65" s="15" t="s">
        <v>3844</v>
      </c>
      <c r="H65" s="15"/>
      <c r="I65" s="6"/>
      <c r="J65" s="15"/>
    </row>
    <row r="66" spans="1:10" ht="26.25" customHeight="1">
      <c r="A66" s="15" t="s">
        <v>455</v>
      </c>
      <c r="B66" s="15" t="s">
        <v>1864</v>
      </c>
      <c r="C66" s="15" t="s">
        <v>32</v>
      </c>
      <c r="D66" s="15" t="s">
        <v>3806</v>
      </c>
      <c r="E66" s="15" t="s">
        <v>3847</v>
      </c>
      <c r="F66" s="15" t="s">
        <v>3848</v>
      </c>
      <c r="G66" s="15" t="s">
        <v>3849</v>
      </c>
      <c r="H66" s="15"/>
      <c r="I66" s="6"/>
      <c r="J66" s="15"/>
    </row>
    <row r="67" spans="1:10" ht="26.25" customHeight="1">
      <c r="A67" s="15" t="s">
        <v>459</v>
      </c>
      <c r="B67" s="15" t="s">
        <v>1864</v>
      </c>
      <c r="C67" s="15" t="s">
        <v>32</v>
      </c>
      <c r="D67" s="15" t="s">
        <v>3806</v>
      </c>
      <c r="E67" s="15" t="s">
        <v>3850</v>
      </c>
      <c r="F67" s="15" t="s">
        <v>3851</v>
      </c>
      <c r="G67" s="15" t="s">
        <v>3852</v>
      </c>
      <c r="H67" s="15"/>
      <c r="I67" s="226"/>
      <c r="J67" s="15"/>
    </row>
    <row r="68" spans="1:10" ht="26.25" customHeight="1">
      <c r="A68" s="15" t="s">
        <v>465</v>
      </c>
      <c r="B68" s="15" t="s">
        <v>3821</v>
      </c>
      <c r="C68" s="15" t="s">
        <v>32</v>
      </c>
      <c r="D68" s="15" t="s">
        <v>3806</v>
      </c>
      <c r="E68" s="15" t="s">
        <v>3853</v>
      </c>
      <c r="F68" s="15" t="s">
        <v>3854</v>
      </c>
      <c r="G68" s="15" t="s">
        <v>3855</v>
      </c>
      <c r="H68" s="15"/>
      <c r="I68" s="226"/>
      <c r="J68" s="20"/>
    </row>
    <row r="69" spans="1:10" ht="26.25" customHeight="1">
      <c r="A69" s="63" t="s">
        <v>774</v>
      </c>
      <c r="B69" s="63" t="s">
        <v>3821</v>
      </c>
      <c r="C69" s="63" t="s">
        <v>32</v>
      </c>
      <c r="D69" s="63" t="s">
        <v>3806</v>
      </c>
      <c r="E69" s="63" t="s">
        <v>3856</v>
      </c>
      <c r="F69" s="63" t="s">
        <v>3857</v>
      </c>
      <c r="G69" s="63" t="s">
        <v>3858</v>
      </c>
      <c r="H69" s="63"/>
      <c r="I69" s="230"/>
      <c r="J69" s="187"/>
    </row>
    <row r="70" spans="1:10" ht="26.25" customHeight="1">
      <c r="A70" s="146" t="s">
        <v>471</v>
      </c>
      <c r="B70" s="146" t="s">
        <v>3821</v>
      </c>
      <c r="C70" s="146" t="s">
        <v>32</v>
      </c>
      <c r="D70" s="146" t="s">
        <v>3806</v>
      </c>
      <c r="E70" s="146" t="s">
        <v>3859</v>
      </c>
      <c r="F70" s="146" t="s">
        <v>3860</v>
      </c>
      <c r="G70" s="146" t="s">
        <v>3861</v>
      </c>
      <c r="H70" s="146"/>
      <c r="I70" s="300"/>
      <c r="J70" s="146"/>
    </row>
    <row r="71" spans="1:10" ht="26.25" customHeight="1">
      <c r="A71" s="146" t="s">
        <v>475</v>
      </c>
      <c r="B71" s="146" t="s">
        <v>3821</v>
      </c>
      <c r="C71" s="146" t="s">
        <v>32</v>
      </c>
      <c r="D71" s="146" t="s">
        <v>3806</v>
      </c>
      <c r="E71" s="146" t="s">
        <v>3862</v>
      </c>
      <c r="F71" s="146" t="s">
        <v>3863</v>
      </c>
      <c r="G71" s="146" t="s">
        <v>3864</v>
      </c>
      <c r="H71" s="146"/>
      <c r="I71" s="300"/>
      <c r="J71" s="146"/>
    </row>
    <row r="72" spans="1:10" ht="26.25" customHeight="1">
      <c r="A72" s="146" t="s">
        <v>479</v>
      </c>
      <c r="B72" s="146" t="s">
        <v>48</v>
      </c>
      <c r="C72" s="146" t="s">
        <v>32</v>
      </c>
      <c r="D72" s="146" t="s">
        <v>3865</v>
      </c>
      <c r="E72" s="146" t="s">
        <v>3866</v>
      </c>
      <c r="F72" s="146" t="s">
        <v>3867</v>
      </c>
      <c r="G72" s="146" t="s">
        <v>3868</v>
      </c>
      <c r="H72" s="146"/>
      <c r="I72" s="300"/>
      <c r="J72" s="146"/>
    </row>
  </sheetData>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25"/>
  <sheetViews>
    <sheetView topLeftCell="E1" zoomScaleNormal="100" workbookViewId="0">
      <selection activeCell="H22" sqref="H22"/>
    </sheetView>
  </sheetViews>
  <sheetFormatPr defaultColWidth="9" defaultRowHeight="15" customHeight="1"/>
  <cols>
    <col min="1" max="1" width="5.85546875" style="2" customWidth="1"/>
    <col min="2" max="2" width="9" style="2" customWidth="1"/>
    <col min="3" max="3" width="24.140625" style="2" customWidth="1"/>
    <col min="4" max="4" width="20.28515625" style="2" customWidth="1"/>
    <col min="5" max="5" width="69.7109375" style="2" customWidth="1"/>
    <col min="6" max="6" width="31" style="2" customWidth="1"/>
    <col min="7" max="7" width="17.28515625" style="2" customWidth="1"/>
    <col min="8" max="8" width="16.140625" style="2" customWidth="1"/>
    <col min="9" max="9" width="9" style="1" customWidth="1"/>
    <col min="10" max="16" width="9" style="2" customWidth="1"/>
    <col min="17" max="16384" width="9" style="2"/>
  </cols>
  <sheetData>
    <row r="1" spans="1:10" s="1" customFormat="1" ht="15" customHeight="1">
      <c r="A1" s="147" t="s">
        <v>37</v>
      </c>
      <c r="B1" s="147" t="s">
        <v>38</v>
      </c>
      <c r="C1" s="147" t="s">
        <v>39</v>
      </c>
      <c r="D1" s="147" t="s">
        <v>40</v>
      </c>
      <c r="E1" s="147" t="s">
        <v>41</v>
      </c>
      <c r="F1" s="147" t="s">
        <v>42</v>
      </c>
      <c r="G1" s="148" t="s">
        <v>43</v>
      </c>
      <c r="H1" s="147" t="s">
        <v>1863</v>
      </c>
      <c r="I1" s="138" t="s">
        <v>45</v>
      </c>
      <c r="J1" s="149" t="s">
        <v>46</v>
      </c>
    </row>
    <row r="2" spans="1:10" ht="15" customHeight="1">
      <c r="A2" s="112" t="s">
        <v>47</v>
      </c>
      <c r="B2" s="112" t="s">
        <v>48</v>
      </c>
      <c r="C2" s="112" t="s">
        <v>3869</v>
      </c>
      <c r="D2" s="150" t="s">
        <v>3870</v>
      </c>
      <c r="E2" s="112" t="s">
        <v>3871</v>
      </c>
      <c r="F2" s="112" t="s">
        <v>3872</v>
      </c>
      <c r="G2" s="112" t="s">
        <v>3873</v>
      </c>
      <c r="H2" s="112" t="s">
        <v>3874</v>
      </c>
      <c r="I2" s="151"/>
      <c r="J2" s="112"/>
    </row>
    <row r="3" spans="1:10" ht="15" customHeight="1">
      <c r="A3" s="112" t="s">
        <v>55</v>
      </c>
      <c r="B3" s="112" t="s">
        <v>48</v>
      </c>
      <c r="C3" s="112" t="s">
        <v>3869</v>
      </c>
      <c r="D3" s="150" t="s">
        <v>3870</v>
      </c>
      <c r="E3" s="112" t="s">
        <v>3875</v>
      </c>
      <c r="F3" s="112" t="s">
        <v>3876</v>
      </c>
      <c r="G3" s="112" t="s">
        <v>3877</v>
      </c>
      <c r="H3" s="112" t="s">
        <v>3878</v>
      </c>
      <c r="I3" s="151"/>
      <c r="J3" s="112"/>
    </row>
    <row r="4" spans="1:10" ht="15" customHeight="1">
      <c r="A4" s="112" t="s">
        <v>60</v>
      </c>
      <c r="B4" s="112" t="s">
        <v>48</v>
      </c>
      <c r="C4" s="112" t="s">
        <v>3869</v>
      </c>
      <c r="D4" s="112" t="s">
        <v>3879</v>
      </c>
      <c r="E4" s="112" t="s">
        <v>3880</v>
      </c>
      <c r="F4" s="112" t="s">
        <v>3881</v>
      </c>
      <c r="G4" s="112" t="s">
        <v>3882</v>
      </c>
      <c r="H4" s="112"/>
      <c r="I4" s="151"/>
      <c r="J4" s="112"/>
    </row>
    <row r="5" spans="1:10" ht="15" customHeight="1">
      <c r="A5" s="112" t="s">
        <v>65</v>
      </c>
      <c r="B5" s="112" t="s">
        <v>48</v>
      </c>
      <c r="C5" s="112" t="s">
        <v>3869</v>
      </c>
      <c r="D5" s="112" t="s">
        <v>3883</v>
      </c>
      <c r="E5" s="112" t="s">
        <v>3884</v>
      </c>
      <c r="F5" s="112" t="s">
        <v>3885</v>
      </c>
      <c r="G5" s="112" t="s">
        <v>3886</v>
      </c>
      <c r="H5" s="112" t="s">
        <v>3887</v>
      </c>
      <c r="I5" s="151"/>
      <c r="J5" s="112"/>
    </row>
    <row r="6" spans="1:10" ht="15" customHeight="1">
      <c r="A6" s="112" t="s">
        <v>70</v>
      </c>
      <c r="B6" s="112" t="s">
        <v>48</v>
      </c>
      <c r="C6" s="112" t="s">
        <v>3869</v>
      </c>
      <c r="D6" s="112" t="s">
        <v>3888</v>
      </c>
      <c r="E6" s="112" t="s">
        <v>3889</v>
      </c>
      <c r="F6" s="112" t="s">
        <v>3890</v>
      </c>
      <c r="G6" s="112" t="s">
        <v>3891</v>
      </c>
      <c r="H6" s="112" t="s">
        <v>3892</v>
      </c>
      <c r="I6" s="151"/>
      <c r="J6" s="151"/>
    </row>
    <row r="7" spans="1:10" ht="15" customHeight="1">
      <c r="A7" s="112" t="s">
        <v>74</v>
      </c>
      <c r="B7" s="112" t="s">
        <v>48</v>
      </c>
      <c r="C7" s="112" t="s">
        <v>3869</v>
      </c>
      <c r="D7" s="112" t="s">
        <v>3893</v>
      </c>
      <c r="E7" s="112" t="s">
        <v>3894</v>
      </c>
      <c r="F7" s="112" t="s">
        <v>3895</v>
      </c>
      <c r="G7" s="112" t="s">
        <v>3896</v>
      </c>
      <c r="H7" s="112" t="s">
        <v>3897</v>
      </c>
      <c r="I7" s="151"/>
      <c r="J7" s="152"/>
    </row>
    <row r="8" spans="1:10" ht="15" customHeight="1">
      <c r="A8" s="112" t="s">
        <v>79</v>
      </c>
      <c r="B8" s="112" t="s">
        <v>48</v>
      </c>
      <c r="C8" s="112" t="s">
        <v>3869</v>
      </c>
      <c r="D8" s="150" t="s">
        <v>3898</v>
      </c>
      <c r="E8" s="112" t="s">
        <v>3899</v>
      </c>
      <c r="F8" s="112" t="s">
        <v>3900</v>
      </c>
      <c r="G8" s="112" t="s">
        <v>3901</v>
      </c>
      <c r="H8" s="112" t="s">
        <v>3902</v>
      </c>
      <c r="I8" s="151"/>
      <c r="J8" s="112"/>
    </row>
    <row r="9" spans="1:10" ht="15" customHeight="1">
      <c r="A9" s="112" t="s">
        <v>84</v>
      </c>
      <c r="B9" s="112" t="s">
        <v>48</v>
      </c>
      <c r="C9" s="112" t="s">
        <v>3869</v>
      </c>
      <c r="D9" s="150" t="s">
        <v>3903</v>
      </c>
      <c r="E9" s="112" t="s">
        <v>3904</v>
      </c>
      <c r="F9" s="112" t="s">
        <v>3905</v>
      </c>
      <c r="G9" s="112" t="s">
        <v>3906</v>
      </c>
      <c r="H9" s="112" t="s">
        <v>3907</v>
      </c>
      <c r="I9" s="151"/>
      <c r="J9" s="112"/>
    </row>
    <row r="10" spans="1:10" ht="15" customHeight="1">
      <c r="A10" s="112" t="s">
        <v>89</v>
      </c>
      <c r="B10" s="112" t="s">
        <v>48</v>
      </c>
      <c r="C10" s="112" t="s">
        <v>3869</v>
      </c>
      <c r="D10" s="80" t="s">
        <v>3908</v>
      </c>
      <c r="E10" s="112" t="s">
        <v>3909</v>
      </c>
      <c r="F10" s="112" t="s">
        <v>3910</v>
      </c>
      <c r="G10" s="112" t="s">
        <v>2056</v>
      </c>
      <c r="H10" s="112" t="s">
        <v>3911</v>
      </c>
      <c r="I10" s="151"/>
      <c r="J10" s="80"/>
    </row>
    <row r="11" spans="1:10" ht="15" customHeight="1">
      <c r="A11" s="112" t="s">
        <v>94</v>
      </c>
      <c r="B11" s="112" t="s">
        <v>48</v>
      </c>
      <c r="C11" s="112" t="s">
        <v>3869</v>
      </c>
      <c r="D11" s="80" t="s">
        <v>868</v>
      </c>
      <c r="E11" s="80" t="s">
        <v>3912</v>
      </c>
      <c r="F11" s="112" t="s">
        <v>3913</v>
      </c>
      <c r="G11" s="80" t="s">
        <v>3914</v>
      </c>
      <c r="H11" s="112" t="s">
        <v>3915</v>
      </c>
      <c r="I11" s="151"/>
      <c r="J11" s="80"/>
    </row>
    <row r="12" spans="1:10" ht="15" customHeight="1">
      <c r="A12" s="112" t="s">
        <v>99</v>
      </c>
      <c r="B12" s="112" t="s">
        <v>48</v>
      </c>
      <c r="C12" s="112" t="s">
        <v>3869</v>
      </c>
      <c r="D12" s="80" t="s">
        <v>868</v>
      </c>
      <c r="E12" s="80" t="s">
        <v>3916</v>
      </c>
      <c r="F12" s="112" t="s">
        <v>3917</v>
      </c>
      <c r="G12" s="80" t="s">
        <v>3918</v>
      </c>
      <c r="H12" s="112" t="s">
        <v>3919</v>
      </c>
      <c r="I12" s="151"/>
      <c r="J12" s="80"/>
    </row>
    <row r="13" spans="1:10" ht="15" customHeight="1">
      <c r="A13" s="112" t="s">
        <v>103</v>
      </c>
      <c r="B13" s="192" t="s">
        <v>48</v>
      </c>
      <c r="C13" s="192" t="s">
        <v>3869</v>
      </c>
      <c r="D13" s="146" t="s">
        <v>3920</v>
      </c>
      <c r="E13" s="146" t="s">
        <v>3921</v>
      </c>
      <c r="F13" s="192" t="s">
        <v>3922</v>
      </c>
      <c r="G13" s="146" t="s">
        <v>3923</v>
      </c>
      <c r="H13" s="192" t="s">
        <v>3924</v>
      </c>
      <c r="I13" s="300"/>
      <c r="J13" s="302"/>
    </row>
    <row r="14" spans="1:10" ht="15" customHeight="1">
      <c r="A14" s="112" t="s">
        <v>108</v>
      </c>
      <c r="B14" s="192" t="s">
        <v>48</v>
      </c>
      <c r="C14" s="192" t="s">
        <v>3869</v>
      </c>
      <c r="D14" s="146" t="s">
        <v>3925</v>
      </c>
      <c r="E14" s="146" t="s">
        <v>3926</v>
      </c>
      <c r="F14" s="192" t="s">
        <v>3927</v>
      </c>
      <c r="G14" s="146" t="s">
        <v>3928</v>
      </c>
      <c r="H14" s="192" t="s">
        <v>3929</v>
      </c>
      <c r="I14" s="300"/>
      <c r="J14" s="302"/>
    </row>
    <row r="15" spans="1:10" ht="15" customHeight="1">
      <c r="A15" s="112" t="s">
        <v>112</v>
      </c>
      <c r="B15" s="192" t="s">
        <v>48</v>
      </c>
      <c r="C15" s="192" t="s">
        <v>3869</v>
      </c>
      <c r="D15" s="153" t="s">
        <v>3930</v>
      </c>
      <c r="E15" s="192" t="s">
        <v>3931</v>
      </c>
      <c r="F15" s="192" t="s">
        <v>3932</v>
      </c>
      <c r="G15" s="192" t="s">
        <v>3933</v>
      </c>
      <c r="H15" s="192" t="s">
        <v>3934</v>
      </c>
      <c r="I15" s="300"/>
      <c r="J15" s="302"/>
    </row>
    <row r="16" spans="1:10" ht="15" customHeight="1">
      <c r="A16" s="112" t="s">
        <v>118</v>
      </c>
      <c r="B16" s="192" t="s">
        <v>48</v>
      </c>
      <c r="C16" s="192" t="s">
        <v>3869</v>
      </c>
      <c r="D16" s="153" t="s">
        <v>3935</v>
      </c>
      <c r="E16" s="192" t="s">
        <v>3936</v>
      </c>
      <c r="F16" s="192" t="s">
        <v>3937</v>
      </c>
      <c r="G16" s="192" t="s">
        <v>3938</v>
      </c>
      <c r="H16" s="192" t="s">
        <v>3939</v>
      </c>
      <c r="I16" s="300"/>
      <c r="J16" s="302"/>
    </row>
    <row r="17" spans="9:9" ht="12.75" customHeight="1"/>
    <row r="18" spans="9:9" ht="12.75" customHeight="1"/>
    <row r="19" spans="9:9" ht="15" customHeight="1">
      <c r="I19" s="2"/>
    </row>
    <row r="20" spans="9:9" ht="15" customHeight="1">
      <c r="I20" s="2"/>
    </row>
    <row r="21" spans="9:9" ht="15" customHeight="1">
      <c r="I21" s="2"/>
    </row>
    <row r="22" spans="9:9" ht="15" customHeight="1">
      <c r="I22" s="2"/>
    </row>
    <row r="23" spans="9:9" ht="15" customHeight="1">
      <c r="I23" s="2"/>
    </row>
    <row r="24" spans="9:9" ht="15" customHeight="1">
      <c r="I24" s="2"/>
    </row>
    <row r="25" spans="9:9" ht="15" customHeight="1">
      <c r="I25"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workbookViewId="0">
      <selection activeCell="J2" sqref="J2:J16"/>
    </sheetView>
  </sheetViews>
  <sheetFormatPr defaultColWidth="7.140625" defaultRowHeight="19.5" customHeight="1"/>
  <cols>
    <col min="1" max="1" width="7.140625" style="2" customWidth="1"/>
    <col min="2" max="2" width="10.5703125" style="8" customWidth="1"/>
    <col min="3" max="3" width="20.140625" style="2" customWidth="1"/>
    <col min="4" max="4" width="16.7109375" style="2" customWidth="1"/>
    <col min="5" max="5" width="34.42578125" style="2" customWidth="1"/>
    <col min="6" max="6" width="25.42578125" style="8" customWidth="1"/>
    <col min="7" max="7" width="20.42578125" style="2" customWidth="1"/>
    <col min="8" max="8" width="22.85546875" style="2" customWidth="1"/>
    <col min="9" max="9" width="9.140625" style="1" customWidth="1"/>
    <col min="10" max="10" width="19.42578125" style="2" customWidth="1"/>
    <col min="11" max="17" width="7.140625" style="2" customWidth="1"/>
    <col min="18" max="16384" width="7.140625" style="2"/>
  </cols>
  <sheetData>
    <row r="1" spans="1:10" s="1" customFormat="1" ht="19.5" customHeight="1">
      <c r="A1" s="135" t="s">
        <v>37</v>
      </c>
      <c r="B1" s="136" t="s">
        <v>38</v>
      </c>
      <c r="C1" s="135" t="s">
        <v>39</v>
      </c>
      <c r="D1" s="135" t="s">
        <v>40</v>
      </c>
      <c r="E1" s="135" t="s">
        <v>41</v>
      </c>
      <c r="F1" s="136" t="s">
        <v>42</v>
      </c>
      <c r="G1" s="135" t="s">
        <v>176</v>
      </c>
      <c r="H1" s="117" t="s">
        <v>1863</v>
      </c>
      <c r="I1" s="135" t="s">
        <v>45</v>
      </c>
      <c r="J1" s="135" t="s">
        <v>46</v>
      </c>
    </row>
    <row r="2" spans="1:10" ht="19.5" customHeight="1">
      <c r="A2" s="9" t="s">
        <v>47</v>
      </c>
      <c r="B2" s="160" t="s">
        <v>48</v>
      </c>
      <c r="C2" s="9" t="s">
        <v>3940</v>
      </c>
      <c r="D2" s="9" t="s">
        <v>3941</v>
      </c>
      <c r="E2" s="9" t="s">
        <v>3942</v>
      </c>
      <c r="F2" s="160" t="s">
        <v>3943</v>
      </c>
      <c r="G2" s="9" t="s">
        <v>3944</v>
      </c>
      <c r="H2" s="9"/>
      <c r="I2" s="160"/>
      <c r="J2" s="160"/>
    </row>
    <row r="3" spans="1:10" ht="19.5" customHeight="1">
      <c r="A3" s="9" t="s">
        <v>55</v>
      </c>
      <c r="B3" s="160" t="s">
        <v>3945</v>
      </c>
      <c r="C3" s="9" t="s">
        <v>328</v>
      </c>
      <c r="D3" s="9" t="s">
        <v>3946</v>
      </c>
      <c r="E3" s="9" t="s">
        <v>3947</v>
      </c>
      <c r="F3" s="160" t="s">
        <v>3948</v>
      </c>
      <c r="G3" s="9" t="s">
        <v>3949</v>
      </c>
      <c r="H3" s="9"/>
      <c r="I3" s="160"/>
      <c r="J3" s="160"/>
    </row>
    <row r="4" spans="1:10" ht="19.5" customHeight="1">
      <c r="A4" s="9" t="s">
        <v>60</v>
      </c>
      <c r="B4" s="160" t="s">
        <v>3945</v>
      </c>
      <c r="C4" s="9" t="s">
        <v>328</v>
      </c>
      <c r="D4" s="9" t="s">
        <v>3950</v>
      </c>
      <c r="E4" s="9" t="s">
        <v>3951</v>
      </c>
      <c r="F4" s="160" t="s">
        <v>3952</v>
      </c>
      <c r="G4" s="9" t="s">
        <v>3953</v>
      </c>
      <c r="H4" s="9"/>
      <c r="I4" s="160"/>
      <c r="J4" s="160"/>
    </row>
    <row r="5" spans="1:10" ht="19.5" customHeight="1">
      <c r="A5" s="9" t="s">
        <v>65</v>
      </c>
      <c r="B5" s="160" t="s">
        <v>3945</v>
      </c>
      <c r="C5" s="9" t="s">
        <v>328</v>
      </c>
      <c r="D5" s="9" t="s">
        <v>2948</v>
      </c>
      <c r="E5" s="9" t="s">
        <v>3954</v>
      </c>
      <c r="F5" s="160" t="s">
        <v>3955</v>
      </c>
      <c r="G5" s="9" t="s">
        <v>3956</v>
      </c>
      <c r="H5" s="9"/>
      <c r="I5" s="160"/>
      <c r="J5" s="160"/>
    </row>
    <row r="6" spans="1:10" ht="19.5" customHeight="1">
      <c r="A6" s="9" t="s">
        <v>70</v>
      </c>
      <c r="B6" s="160" t="s">
        <v>3945</v>
      </c>
      <c r="C6" s="9" t="s">
        <v>328</v>
      </c>
      <c r="D6" s="9" t="s">
        <v>2919</v>
      </c>
      <c r="E6" s="9" t="s">
        <v>3957</v>
      </c>
      <c r="F6" s="160" t="s">
        <v>3958</v>
      </c>
      <c r="G6" s="9" t="s">
        <v>3959</v>
      </c>
      <c r="H6" s="9"/>
      <c r="I6" s="160"/>
      <c r="J6" s="160"/>
    </row>
    <row r="7" spans="1:10" ht="19.5" customHeight="1">
      <c r="A7" s="9" t="s">
        <v>74</v>
      </c>
      <c r="B7" s="160" t="s">
        <v>3945</v>
      </c>
      <c r="C7" s="9" t="s">
        <v>344</v>
      </c>
      <c r="D7" s="9" t="s">
        <v>3950</v>
      </c>
      <c r="E7" s="9" t="s">
        <v>3960</v>
      </c>
      <c r="F7" s="160" t="s">
        <v>3961</v>
      </c>
      <c r="G7" s="9" t="s">
        <v>3962</v>
      </c>
      <c r="H7" s="9"/>
      <c r="I7" s="160"/>
      <c r="J7" s="158"/>
    </row>
    <row r="8" spans="1:10" ht="19.5" customHeight="1">
      <c r="A8" s="9" t="s">
        <v>79</v>
      </c>
      <c r="B8" s="160" t="s">
        <v>3945</v>
      </c>
      <c r="C8" s="9" t="s">
        <v>2311</v>
      </c>
      <c r="D8" s="9" t="s">
        <v>3950</v>
      </c>
      <c r="E8" s="9" t="s">
        <v>3963</v>
      </c>
      <c r="F8" s="160" t="s">
        <v>3964</v>
      </c>
      <c r="G8" s="9" t="s">
        <v>3965</v>
      </c>
      <c r="H8" s="9"/>
      <c r="I8" s="160"/>
      <c r="J8" s="158"/>
    </row>
    <row r="9" spans="1:10" ht="19.5" customHeight="1">
      <c r="A9" s="9" t="s">
        <v>84</v>
      </c>
      <c r="B9" s="160" t="s">
        <v>3945</v>
      </c>
      <c r="C9" s="7" t="s">
        <v>3966</v>
      </c>
      <c r="D9" s="9" t="s">
        <v>3967</v>
      </c>
      <c r="E9" s="9" t="s">
        <v>3968</v>
      </c>
      <c r="F9" s="9" t="s">
        <v>3969</v>
      </c>
      <c r="G9" s="9" t="s">
        <v>3970</v>
      </c>
      <c r="H9" s="9"/>
      <c r="I9" s="160"/>
      <c r="J9" s="10"/>
    </row>
    <row r="10" spans="1:10" ht="19.5" customHeight="1">
      <c r="A10" s="9" t="s">
        <v>89</v>
      </c>
      <c r="B10" s="160" t="s">
        <v>3945</v>
      </c>
      <c r="C10" s="7" t="s">
        <v>3034</v>
      </c>
      <c r="D10" s="9" t="s">
        <v>3971</v>
      </c>
      <c r="E10" s="9" t="s">
        <v>3972</v>
      </c>
      <c r="F10" s="9" t="s">
        <v>3973</v>
      </c>
      <c r="G10" s="9" t="s">
        <v>3974</v>
      </c>
      <c r="H10" s="9"/>
      <c r="I10" s="9"/>
      <c r="J10" s="11"/>
    </row>
    <row r="11" spans="1:10" ht="19.5" customHeight="1">
      <c r="A11" s="9" t="s">
        <v>94</v>
      </c>
      <c r="B11" s="160" t="s">
        <v>3945</v>
      </c>
      <c r="C11" s="7" t="s">
        <v>3975</v>
      </c>
      <c r="D11" s="9" t="s">
        <v>3976</v>
      </c>
      <c r="E11" s="9" t="s">
        <v>3977</v>
      </c>
      <c r="F11" s="9" t="s">
        <v>3978</v>
      </c>
      <c r="G11" s="9" t="s">
        <v>3979</v>
      </c>
      <c r="H11" s="9"/>
      <c r="I11" s="160"/>
      <c r="J11" s="158"/>
    </row>
    <row r="12" spans="1:10" ht="19.5" customHeight="1">
      <c r="A12" s="9" t="s">
        <v>99</v>
      </c>
      <c r="B12" s="160" t="s">
        <v>3945</v>
      </c>
      <c r="C12" s="7" t="s">
        <v>3980</v>
      </c>
      <c r="D12" s="9" t="s">
        <v>3981</v>
      </c>
      <c r="E12" s="9" t="s">
        <v>3982</v>
      </c>
      <c r="F12" s="9" t="s">
        <v>3983</v>
      </c>
      <c r="G12" s="9" t="s">
        <v>3984</v>
      </c>
      <c r="H12" s="9"/>
      <c r="I12" s="160"/>
      <c r="J12" s="158"/>
    </row>
    <row r="13" spans="1:10" ht="19.5" customHeight="1">
      <c r="A13" s="9" t="s">
        <v>103</v>
      </c>
      <c r="B13" s="160" t="s">
        <v>3945</v>
      </c>
      <c r="C13" s="9" t="s">
        <v>3985</v>
      </c>
      <c r="D13" s="9" t="s">
        <v>3986</v>
      </c>
      <c r="E13" s="9" t="s">
        <v>3987</v>
      </c>
      <c r="F13" s="9" t="s">
        <v>3988</v>
      </c>
      <c r="G13" s="9" t="s">
        <v>3989</v>
      </c>
      <c r="H13" s="9"/>
      <c r="I13" s="160"/>
      <c r="J13" s="158"/>
    </row>
    <row r="14" spans="1:10" ht="19.5" customHeight="1">
      <c r="A14" s="9" t="s">
        <v>112</v>
      </c>
      <c r="B14" s="160" t="s">
        <v>3945</v>
      </c>
      <c r="C14" s="9" t="s">
        <v>3990</v>
      </c>
      <c r="D14" s="9" t="s">
        <v>3991</v>
      </c>
      <c r="E14" s="9" t="s">
        <v>3992</v>
      </c>
      <c r="F14" s="9" t="s">
        <v>3993</v>
      </c>
      <c r="G14" s="9" t="s">
        <v>3994</v>
      </c>
      <c r="H14" s="9"/>
      <c r="I14" s="9"/>
      <c r="J14" s="9"/>
    </row>
  </sheetData>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23"/>
  <sheetViews>
    <sheetView zoomScale="90" zoomScaleNormal="90" workbookViewId="0">
      <selection activeCell="C3" sqref="C3"/>
    </sheetView>
  </sheetViews>
  <sheetFormatPr defaultColWidth="15.85546875" defaultRowHeight="16.5" customHeight="1"/>
  <cols>
    <col min="1" max="1" width="7" style="2" customWidth="1"/>
    <col min="2" max="2" width="8.42578125" style="2" bestFit="1" customWidth="1"/>
    <col min="3" max="3" width="27.42578125" style="2" customWidth="1"/>
    <col min="4" max="4" width="33.85546875" style="2" customWidth="1"/>
    <col min="5" max="5" width="19.85546875" style="2" customWidth="1"/>
    <col min="6" max="6" width="17.28515625" style="1" customWidth="1"/>
    <col min="7" max="7" width="18.28515625" style="2" customWidth="1"/>
    <col min="8" max="14" width="15.85546875" style="2" customWidth="1"/>
    <col min="15" max="16384" width="15.85546875" style="2"/>
  </cols>
  <sheetData>
    <row r="1" spans="1:8" s="1" customFormat="1" ht="16.5" customHeight="1">
      <c r="A1" s="193" t="s">
        <v>37</v>
      </c>
      <c r="B1" s="193" t="s">
        <v>38</v>
      </c>
      <c r="C1" s="193" t="s">
        <v>41</v>
      </c>
      <c r="D1" s="193" t="s">
        <v>42</v>
      </c>
      <c r="E1" s="193" t="s">
        <v>1863</v>
      </c>
      <c r="F1" s="138" t="s">
        <v>45</v>
      </c>
      <c r="G1" s="149" t="s">
        <v>46</v>
      </c>
      <c r="H1" s="149" t="s">
        <v>3995</v>
      </c>
    </row>
    <row r="2" spans="1:8" ht="45.75" customHeight="1">
      <c r="A2" s="194" t="s">
        <v>47</v>
      </c>
      <c r="B2" s="154" t="s">
        <v>3996</v>
      </c>
      <c r="C2" s="194" t="s">
        <v>3997</v>
      </c>
      <c r="D2" s="194" t="s">
        <v>3998</v>
      </c>
      <c r="E2" s="194"/>
      <c r="F2" s="155"/>
      <c r="G2" s="154"/>
      <c r="H2" s="156"/>
    </row>
    <row r="3" spans="1:8" ht="45.75" customHeight="1">
      <c r="A3" s="194" t="s">
        <v>55</v>
      </c>
      <c r="B3" s="154" t="s">
        <v>3996</v>
      </c>
      <c r="C3" s="194" t="s">
        <v>3999</v>
      </c>
      <c r="D3" s="194" t="s">
        <v>3998</v>
      </c>
      <c r="E3" s="194"/>
      <c r="F3" s="155"/>
      <c r="G3" s="154"/>
      <c r="H3" s="156"/>
    </row>
    <row r="4" spans="1:8" ht="45.75" customHeight="1">
      <c r="A4" s="194" t="s">
        <v>60</v>
      </c>
      <c r="B4" s="154" t="s">
        <v>3996</v>
      </c>
      <c r="C4" s="194" t="s">
        <v>4000</v>
      </c>
      <c r="D4" s="194" t="s">
        <v>3998</v>
      </c>
      <c r="E4" s="194"/>
      <c r="F4" s="155"/>
      <c r="G4" s="154"/>
      <c r="H4" s="156"/>
    </row>
    <row r="5" spans="1:8" ht="45.75" customHeight="1">
      <c r="A5" s="194" t="s">
        <v>65</v>
      </c>
      <c r="B5" s="154" t="s">
        <v>3996</v>
      </c>
      <c r="C5" s="194" t="s">
        <v>4001</v>
      </c>
      <c r="D5" s="194" t="s">
        <v>3998</v>
      </c>
      <c r="E5" s="194"/>
      <c r="F5" s="155"/>
      <c r="G5" s="154"/>
      <c r="H5" s="156"/>
    </row>
    <row r="6" spans="1:8" ht="86.25" customHeight="1">
      <c r="A6" s="194" t="s">
        <v>70</v>
      </c>
      <c r="B6" s="154" t="s">
        <v>3996</v>
      </c>
      <c r="C6" s="194" t="s">
        <v>4002</v>
      </c>
      <c r="D6" s="268" t="s">
        <v>4003</v>
      </c>
      <c r="E6" s="268"/>
      <c r="F6" s="157"/>
      <c r="G6" s="208"/>
      <c r="H6" s="156"/>
    </row>
    <row r="7" spans="1:8" ht="45.75" customHeight="1">
      <c r="A7" s="194" t="s">
        <v>79</v>
      </c>
      <c r="B7" s="154" t="s">
        <v>3996</v>
      </c>
      <c r="C7" s="194" t="s">
        <v>4004</v>
      </c>
      <c r="D7" s="194" t="s">
        <v>4005</v>
      </c>
      <c r="E7" s="194"/>
      <c r="F7" s="155"/>
      <c r="G7" s="194"/>
      <c r="H7" s="156"/>
    </row>
    <row r="8" spans="1:8" ht="45.75" customHeight="1">
      <c r="A8" s="194" t="s">
        <v>84</v>
      </c>
      <c r="B8" s="154" t="s">
        <v>3996</v>
      </c>
      <c r="C8" s="194" t="s">
        <v>4006</v>
      </c>
      <c r="D8" s="194" t="s">
        <v>4007</v>
      </c>
      <c r="E8" s="194"/>
      <c r="F8" s="195"/>
      <c r="G8" s="194"/>
      <c r="H8" s="156"/>
    </row>
    <row r="9" spans="1:8" ht="45.75" customHeight="1">
      <c r="A9" s="194" t="s">
        <v>89</v>
      </c>
      <c r="B9" s="154" t="s">
        <v>3996</v>
      </c>
      <c r="C9" s="194" t="s">
        <v>4008</v>
      </c>
      <c r="D9" s="194" t="s">
        <v>4009</v>
      </c>
      <c r="E9" s="194"/>
      <c r="F9" s="195"/>
      <c r="G9" s="154"/>
      <c r="H9" s="156"/>
    </row>
    <row r="10" spans="1:8" ht="157.5" customHeight="1">
      <c r="A10" s="194" t="s">
        <v>94</v>
      </c>
      <c r="B10" s="154" t="s">
        <v>3996</v>
      </c>
      <c r="C10" s="194" t="s">
        <v>4010</v>
      </c>
      <c r="D10" s="194" t="s">
        <v>4011</v>
      </c>
      <c r="E10" s="194"/>
      <c r="F10" s="195"/>
      <c r="G10" s="194"/>
      <c r="H10" s="156"/>
    </row>
    <row r="11" spans="1:8" ht="45.75" customHeight="1">
      <c r="A11" s="194" t="s">
        <v>99</v>
      </c>
      <c r="B11" s="154" t="s">
        <v>3996</v>
      </c>
      <c r="C11" s="194" t="s">
        <v>4012</v>
      </c>
      <c r="D11" s="194" t="s">
        <v>4013</v>
      </c>
      <c r="E11" s="194"/>
      <c r="F11" s="195"/>
      <c r="G11" s="154"/>
      <c r="H11" s="156"/>
    </row>
    <row r="12" spans="1:8" ht="101.25" customHeight="1">
      <c r="A12" s="194" t="s">
        <v>103</v>
      </c>
      <c r="B12" s="154" t="s">
        <v>3996</v>
      </c>
      <c r="C12" s="194" t="s">
        <v>4014</v>
      </c>
      <c r="D12" s="194" t="s">
        <v>4015</v>
      </c>
      <c r="E12" s="194"/>
      <c r="F12" s="273"/>
      <c r="G12" s="198"/>
      <c r="H12" s="156"/>
    </row>
    <row r="13" spans="1:8" ht="45.75" customHeight="1">
      <c r="A13" s="194" t="s">
        <v>108</v>
      </c>
      <c r="B13" s="154" t="s">
        <v>3996</v>
      </c>
      <c r="C13" s="194" t="s">
        <v>4016</v>
      </c>
      <c r="D13" s="194" t="s">
        <v>4017</v>
      </c>
      <c r="E13" s="157"/>
      <c r="F13" s="273"/>
      <c r="G13" s="207"/>
      <c r="H13" s="156"/>
    </row>
    <row r="14" spans="1:8" ht="16.5" customHeight="1">
      <c r="A14" s="302" t="s">
        <v>112</v>
      </c>
      <c r="B14" s="302" t="s">
        <v>3996</v>
      </c>
      <c r="C14" s="302" t="s">
        <v>4018</v>
      </c>
      <c r="D14" s="302" t="s">
        <v>4019</v>
      </c>
      <c r="E14" s="302"/>
      <c r="F14" s="300"/>
      <c r="G14" s="302"/>
      <c r="H14" s="156"/>
    </row>
    <row r="15" spans="1:8" ht="16.5" customHeight="1">
      <c r="A15" s="317" t="s">
        <v>118</v>
      </c>
      <c r="B15" s="315" t="s">
        <v>3996</v>
      </c>
      <c r="C15" s="319" t="s">
        <v>4020</v>
      </c>
      <c r="D15" s="301" t="s">
        <v>4021</v>
      </c>
      <c r="E15" s="318"/>
      <c r="F15" s="318"/>
      <c r="G15" s="318"/>
      <c r="H15" s="320"/>
    </row>
    <row r="16" spans="1:8" ht="16.5" customHeight="1">
      <c r="A16" s="316"/>
      <c r="B16" s="316"/>
      <c r="C16" s="316"/>
      <c r="D16" s="301" t="s">
        <v>4022</v>
      </c>
      <c r="E16" s="316"/>
      <c r="F16" s="316"/>
      <c r="G16" s="316"/>
      <c r="H16" s="316"/>
    </row>
    <row r="17" spans="1:8" ht="16.5" customHeight="1">
      <c r="A17" s="316"/>
      <c r="B17" s="316"/>
      <c r="C17" s="316"/>
      <c r="D17" s="301" t="s">
        <v>4023</v>
      </c>
      <c r="E17" s="316"/>
      <c r="F17" s="316"/>
      <c r="G17" s="316"/>
      <c r="H17" s="316"/>
    </row>
    <row r="18" spans="1:8" ht="16.5" customHeight="1">
      <c r="A18" s="316"/>
      <c r="B18" s="316"/>
      <c r="C18" s="316"/>
      <c r="D18" s="301" t="s">
        <v>4024</v>
      </c>
      <c r="E18" s="316"/>
      <c r="F18" s="316"/>
      <c r="G18" s="316"/>
      <c r="H18" s="316"/>
    </row>
    <row r="19" spans="1:8" ht="16.5" customHeight="1">
      <c r="A19" s="316"/>
      <c r="B19" s="316"/>
      <c r="C19" s="316"/>
      <c r="D19" s="301" t="s">
        <v>4025</v>
      </c>
      <c r="E19" s="316"/>
      <c r="F19" s="316"/>
      <c r="G19" s="316"/>
      <c r="H19" s="316"/>
    </row>
    <row r="20" spans="1:8" ht="16.5" customHeight="1">
      <c r="A20" s="316"/>
      <c r="B20" s="316"/>
      <c r="C20" s="316"/>
      <c r="D20" s="301" t="s">
        <v>4026</v>
      </c>
      <c r="E20" s="316"/>
      <c r="F20" s="316"/>
      <c r="G20" s="316"/>
      <c r="H20" s="316"/>
    </row>
    <row r="21" spans="1:8" ht="16.5" customHeight="1">
      <c r="A21" s="316"/>
      <c r="B21" s="316"/>
      <c r="C21" s="316"/>
      <c r="D21" s="301" t="s">
        <v>4027</v>
      </c>
      <c r="E21" s="316"/>
      <c r="F21" s="316"/>
      <c r="G21" s="316"/>
      <c r="H21" s="316"/>
    </row>
    <row r="22" spans="1:8" ht="16.5" customHeight="1">
      <c r="A22" s="316"/>
      <c r="B22" s="316"/>
      <c r="C22" s="316"/>
      <c r="D22" s="301" t="s">
        <v>4028</v>
      </c>
      <c r="E22" s="316"/>
      <c r="F22" s="316"/>
      <c r="G22" s="316"/>
      <c r="H22" s="316"/>
    </row>
    <row r="23" spans="1:8" ht="16.5" customHeight="1">
      <c r="A23" s="312"/>
      <c r="B23" s="312"/>
      <c r="C23" s="312"/>
      <c r="D23" s="301" t="s">
        <v>4029</v>
      </c>
      <c r="E23" s="312"/>
      <c r="F23" s="312"/>
      <c r="G23" s="312"/>
      <c r="H23" s="312"/>
    </row>
  </sheetData>
  <mergeCells count="7">
    <mergeCell ref="G15:G23"/>
    <mergeCell ref="H15:H23"/>
    <mergeCell ref="B15:B23"/>
    <mergeCell ref="A15:A23"/>
    <mergeCell ref="E15:E23"/>
    <mergeCell ref="C15:C23"/>
    <mergeCell ref="F15:F23"/>
  </mergeCell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Summary</vt:lpstr>
      <vt:lpstr>Issue_list</vt:lpstr>
      <vt:lpstr>Login &amp; Profile</vt:lpstr>
      <vt:lpstr>Dashboard</vt:lpstr>
      <vt:lpstr>Materials</vt:lpstr>
      <vt:lpstr>Layouts</vt:lpstr>
      <vt:lpstr>LayoutApproval</vt:lpstr>
      <vt:lpstr>Playlists</vt:lpstr>
      <vt:lpstr>Schedules</vt:lpstr>
      <vt:lpstr>Displays</vt:lpstr>
      <vt:lpstr>User Access</vt:lpstr>
      <vt:lpstr>Display Status</vt:lpstr>
      <vt:lpstr>Live Monitoring</vt:lpstr>
      <vt:lpstr>Reports</vt:lpstr>
      <vt:lpstr>Emergenecy Alerts</vt:lpstr>
      <vt:lpstr>System Test</vt:lpstr>
      <vt:lpstr>Long Duration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Shivaji Ghadage</cp:lastModifiedBy>
  <dcterms:created xsi:type="dcterms:W3CDTF">2015-06-05T18:17:00Z</dcterms:created>
  <dcterms:modified xsi:type="dcterms:W3CDTF">2026-01-19T05:07:05Z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0x01010087FC46D3AC5E49429A2B372E462A9AC5</vt:lpwstr>
  </property>
  <property fmtid="{D5CDD505-2E9C-101B-9397-08002B2CF9AE}" pid="3" name="ICV">
    <vt:lpwstr>DD611AE635914144A444F34A131ED24B_12</vt:lpwstr>
  </property>
  <property fmtid="{D5CDD505-2E9C-101B-9397-08002B2CF9AE}" pid="4" name="KSOProductBuildVer">
    <vt:lpwstr>1033-12.2.0.21546</vt:lpwstr>
  </property>
</Properties>
</file>